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https://pruebasaluuclm-my.sharepoint.com/personal/diego_pedregal_uclm_es/Documents/cursoCorriente/docencia/GE/libroQuarto/"/>
    </mc:Choice>
  </mc:AlternateContent>
  <xr:revisionPtr revIDLastSave="5" documentId="8_{23395515-555D-4D48-9F2C-31A9CD54B578}" xr6:coauthVersionLast="47" xr6:coauthVersionMax="47" xr10:uidLastSave="{77EAEB89-613E-4619-9379-945439480D8F}"/>
  <bookViews>
    <workbookView xWindow="90" yWindow="3000" windowWidth="23400" windowHeight="11295" xr2:uid="{00000000-000D-0000-FFFF-FFFF00000000}"/>
  </bookViews>
  <sheets>
    <sheet name="Data" sheetId="1" r:id="rId1"/>
    <sheet name="Series - Metadata"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 i="1" l="1"/>
  <c r="F5" i="1"/>
  <c r="G5" i="1"/>
  <c r="H5" i="1"/>
  <c r="I5" i="1"/>
  <c r="J5" i="1"/>
  <c r="K5" i="1"/>
  <c r="L5" i="1"/>
  <c r="M5" i="1"/>
  <c r="N5" i="1"/>
  <c r="O5" i="1"/>
  <c r="P5" i="1"/>
  <c r="Q5" i="1"/>
  <c r="R5" i="1"/>
  <c r="S5" i="1"/>
  <c r="T5" i="1"/>
  <c r="U5" i="1"/>
  <c r="V5" i="1"/>
  <c r="W5" i="1"/>
  <c r="X5" i="1"/>
  <c r="Y5" i="1"/>
  <c r="Z5" i="1"/>
  <c r="AA5" i="1"/>
  <c r="AB5" i="1"/>
  <c r="AC5" i="1"/>
  <c r="AD5" i="1"/>
  <c r="AE5" i="1"/>
  <c r="AF5" i="1"/>
  <c r="AG5" i="1"/>
  <c r="AH5" i="1"/>
  <c r="AI5" i="1"/>
  <c r="AJ5" i="1"/>
  <c r="AK5" i="1"/>
  <c r="AL5" i="1"/>
  <c r="AM5" i="1"/>
</calcChain>
</file>

<file path=xl/sharedStrings.xml><?xml version="1.0" encoding="utf-8"?>
<sst xmlns="http://schemas.openxmlformats.org/spreadsheetml/2006/main" count="94" uniqueCount="83">
  <si>
    <t>Development relevance</t>
  </si>
  <si>
    <t>2013 [YR2013]</t>
  </si>
  <si>
    <t>Trade (% of GDP)</t>
  </si>
  <si>
    <t>Economic Policy &amp; Debt: Purchasing power parity</t>
  </si>
  <si>
    <t>Aggregation method</t>
  </si>
  <si>
    <t>2004 [YR2004]</t>
  </si>
  <si>
    <t>https://datacatalog.worldbank.org/public-licenses#cc-by</t>
  </si>
  <si>
    <t>1992 [YR1992]</t>
  </si>
  <si>
    <t>Current international $</t>
  </si>
  <si>
    <t>Country official statistics, National Statistical Organizations and/or Central Banks;
National Accounts data files, Organisation for Economic Co-operation and Development (OECD);
Staff estimates, World Bank (WB)</t>
  </si>
  <si>
    <t>2012 [YR2012]</t>
  </si>
  <si>
    <t>Country Code</t>
  </si>
  <si>
    <t>2018 [YR2018]</t>
  </si>
  <si>
    <t>Data from database: World Development Indicators</t>
  </si>
  <si>
    <t>Code</t>
  </si>
  <si>
    <t>2003 [YR2003]</t>
  </si>
  <si>
    <t>ESP</t>
  </si>
  <si>
    <t>This indicator provides values for gross domestic product (GDP) expressed in current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  
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series has been linked to produce a consistent time series to counteract breaks in series over time due to changes in base years, source data and methodologies. Thus, it may not be comparable with other national accounts series in the database for historical years. The core indicator has been divided by the general population to achieve a per capita estimate. This indicator is expressed in current prices, meaning no adjustment has been made to account for price changes over time. The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GDP and its expenditure components.</t>
  </si>
  <si>
    <t>1997 [YR1997]</t>
  </si>
  <si>
    <t>NY.GDP.PCAP.PP.CD</t>
  </si>
  <si>
    <t>Weighted average</t>
  </si>
  <si>
    <t>Dataset</t>
  </si>
  <si>
    <t>Annual</t>
  </si>
  <si>
    <t>2017 [YR2017]</t>
  </si>
  <si>
    <t>Country Name</t>
  </si>
  <si>
    <t>2008 [YR2008]</t>
  </si>
  <si>
    <t>1996 [YR1996]</t>
  </si>
  <si>
    <t>Reference period</t>
  </si>
  <si>
    <t>Last Updated: 10/07/2025</t>
  </si>
  <si>
    <t>2016 [YR2016]</t>
  </si>
  <si>
    <t>1990-2024</t>
  </si>
  <si>
    <t>2007 [YR2007]</t>
  </si>
  <si>
    <t>1995 [YR1995]</t>
  </si>
  <si>
    <t>Spain</t>
  </si>
  <si>
    <t>License Type</t>
  </si>
  <si>
    <t>GDP per capita, PPP (current international $)</t>
  </si>
  <si>
    <t>2021 [YR2021]</t>
  </si>
  <si>
    <t>2006 [YR2006]</t>
  </si>
  <si>
    <t>Euro area</t>
  </si>
  <si>
    <t>CC BY-4.0</t>
  </si>
  <si>
    <t>WDI</t>
  </si>
  <si>
    <t>Topic</t>
  </si>
  <si>
    <t>1991 [YR1991]</t>
  </si>
  <si>
    <t>2020 [YR2020]</t>
  </si>
  <si>
    <t>Long definition</t>
  </si>
  <si>
    <t>1960-2024</t>
  </si>
  <si>
    <t>EMU</t>
  </si>
  <si>
    <t>Periodicity</t>
  </si>
  <si>
    <t>2011 [YR2011]</t>
  </si>
  <si>
    <t>1999 [YR1999]</t>
  </si>
  <si>
    <t>Methodology: National accounts are compiled in accordance with international standards: System of National Accounts, 2008 or 1993 versions. Specific information on how countries compile their national accounts can be found on the IMF website: https://dsbb.imf.org/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</si>
  <si>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2002 [YR2002]</t>
  </si>
  <si>
    <t>1990 [YR1990]</t>
  </si>
  <si>
    <t>2019 [YR2019]</t>
  </si>
  <si>
    <t>NE.TRD.GNFS.ZS</t>
  </si>
  <si>
    <t>Trade is the sum of exports and imports of goods and services. This indicator is expressed as a percentage of Gross Domestic Product (GDP) which is the total income earned through the production of goods and services in an economic territory during an accounting period.</t>
  </si>
  <si>
    <t>Series Code</t>
  </si>
  <si>
    <t>2010 [YR2010]</t>
  </si>
  <si>
    <t>1998 [YR1998]</t>
  </si>
  <si>
    <t>Short definition</t>
  </si>
  <si>
    <t>2001 [YR2001]</t>
  </si>
  <si>
    <t>International Comparison Program (ICP), World Bank (WB), uri: https://www.worldbank.org/en/programs/icp/data, note: This information is for ICP’s PPPs utilized in WDI, publisher: International Comparison Program (ICP), date accessed: May 30, 2024, date published: May 30, 2024;
The Eurostat PPP Programme, Eurostat (ESTAT), uri: https://ec.europa.eu/eurostat/databrowser/explore/all/all_themes, publisher: Eurostat;
The OECD PPP Programme, Organisation for Economic Co-operation and Development (OECD), uri: https://data-explorer.oecd.org/, publisher: OECD;
Staff estimates, World Bank (WB);
National Accounts data files, Organisation for Economic Co-operation and Development (OECD);
World Economic Outlook database, International Monetary Fund (IMF)</t>
  </si>
  <si>
    <t>2024 [YR2024]</t>
  </si>
  <si>
    <t>%</t>
  </si>
  <si>
    <t>2009 [YR2009]</t>
  </si>
  <si>
    <t>Statistical concept and methodology</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</si>
  <si>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the expenditure approach used to calculate GDP, which focuses on the total amount of spending on final goods and services within an economy over a specific period. Unlike the production approach, which looks at the supply side by summing the value of output produced by all sectors, the expenditure approach looks at the demand side by summing all expenditures. This demand-side analysis provides insights into the spending behaviors of different sectors, including households, businesses, the government, and foreign entities. Also, by breaking down expenditures into categories like consumption, investment, government spending, and net exports, it helps identify which components are driving or hindering economic growth. This approach can thus be used to assess the effectiveness of fiscal and monetary policies. Overall, the expenditure approach is crucial for understanding the dynamics of an economy, guiding policy decisions, and providing a comprehensive view of economic activity from the perspective of total spending.</t>
  </si>
  <si>
    <t>2015 [YR2015]</t>
  </si>
  <si>
    <t>License URL</t>
  </si>
  <si>
    <t>2000 [YR2000]</t>
  </si>
  <si>
    <t>Source</t>
  </si>
  <si>
    <t>Series Name</t>
  </si>
  <si>
    <t>1994 [YR1994]</t>
  </si>
  <si>
    <t>Unit of measure</t>
  </si>
  <si>
    <t>PPPs are used to convert national accounts data from different countries, such as GDP and its expenditure components, into a common currency, while also eliminating the effect of price level differences between countries. PPPs are also used to derive price level indexes (PLIs), the ratio of a country’s PPP to its market exchange rate, to directly compare price levels across countries.
The PPP-based expenditures to which they give rise are primarily used to make spatial comparisons of volume and per capita consumption or levels of GDP and its expenditure components across countries.  PPP-based indicators are used for national, regional, and global policy making and analysis across the socioeconomic spectrum from poverty and inequality, to health and education, to energy and climate, through to economic growth, labor, productivity, trade, competitiveness, and infrastructure. A number of Sustainable Development Goals use PPP-based indicators to measure development progress.
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national accounts aggregates. Gross Domestic Product (GDP), Gross National Income (GNI), and other aggregates provide a snapshot of the size and health of an economy by measuring the total economic activity within a country. They can thus be used by policymakers to design and implement economic policies, as they reflect the overall economic performance and can indicate the need for intervention in certain areas. Aggregates also allow for comparisons between different economies, which can be useful for trade negotiations, investment decisions, and economic benchmarking. By examining aggregates over time, economists and analysts can identify trends, cycles, and potential areas of concern within an economy, and investors can use national accounts aggregates to assess the potential risks and returns of investing in a particular country. Overall, national accounts aggregates are fundamental tools for economic analysis, policy formulation, and decision-making at both the national and international levels.</t>
  </si>
  <si>
    <t>2023 [YR2023]</t>
  </si>
  <si>
    <t>Indicator Name</t>
  </si>
  <si>
    <t>2014 [YR2014]</t>
  </si>
  <si>
    <t>Economic Policy &amp; Debt: National accounts: Shares of GDP &amp; other</t>
  </si>
  <si>
    <t>2005 [YR2005]</t>
  </si>
  <si>
    <t>1993 [YR1993]</t>
  </si>
  <si>
    <t>2022 [YR2022]</t>
  </si>
  <si>
    <t>Methodology: The International Comparison Program (ICP) estimates PPPs for the world’s countries. The ICP is conducted as a global partnership of countries, multilateral agencies, and academia. The recent 2021 ICP comparison covered 176 countries, including 49 Eurostat-OECD countries. For countries that have not participated in ICP comparisons, the PPP are imputed based on a regression model. ICP estimated PPPs cover years from 2011 to 2021. WDI extrapolates 2011 PPPs for years earlier years, and 2021 PPPs for later years. For the member countries of Eurostat-OECD PPP Programme, PPP conversion factors are periodically updated based on the organizations’ databases. 
National accounts are compiled in accordance with international standards: System of National Accounts, 2008 or 1993 versions. Specific information on how countries compile their national accounts can be found on the IMF website: https://dsbb.imf.org/  Linked series have been smoothed to remove breaks resulting from changes in base years, data sources or compilation methods. The linking is performed using historical nominal growth rates from archived WDI databases.
Statistical concept(s): PPPs are primarily used to convert the national accounts data of economies, such as GDP and its expenditure components, into a common currency.  In the process of conversion, they control for differences in the price levels of economies, and thus equalize purchasing power. PPP-based comparisons of economic output differ from market exchange rate-based comparisons as the latter do not distinguish between the relative price levels of different items in economies. Overall price levels are normally higher in higher-income economies than they are in lower-income economies (Balassa-Samuelson effect), mostly because of the large differences in price levels for non-traded products. If no account is taken of the larger price level differences for non-traded products when converting GDP to a common currency, the size of higher-income economies with high price levels will be overstated and the size of lower-income economies with low price levels will be understated. No distinction is made between traded products and non-traded products when market exchange rates are used to convert GDP to a common currency: the rate is the same for all products. PPP-converted GDP does not have this bias because PPPs account for the different price levels of traded products and non-traded products. Thus, PPPs are more appropriate for comparing the output of economies and the average material well-being of their inhabitants and are also less impacted by the potential volatility of market exchange rates. PPPs are calculated by the International Comparison Program (ICP) based on the prices of goods and services within an economy and national accounts expenditures.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</si>
</sst>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xf numFmtId="1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s-ES"/>
              <a:t>PIB per capita de</a:t>
            </a:r>
            <a:r>
              <a:rPr lang="es-ES" baseline="0"/>
              <a:t> España sobre la UE (%)</a:t>
            </a:r>
            <a:endParaRPr lang="es-E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s-ES"/>
        </a:p>
      </c:txPr>
    </c:title>
    <c:autoTitleDeleted val="0"/>
    <c:plotArea>
      <c:layout/>
      <c:lineChart>
        <c:grouping val="standard"/>
        <c:varyColors val="0"/>
        <c:ser>
          <c:idx val="1"/>
          <c:order val="0"/>
          <c:spPr>
            <a:ln w="31750" cap="rnd">
              <a:solidFill>
                <a:schemeClr val="accent2"/>
              </a:solidFill>
              <a:round/>
            </a:ln>
            <a:effectLst>
              <a:outerShdw blurRad="40000" dist="23000" dir="5400000" rotWithShape="0">
                <a:srgbClr val="000000">
                  <a:alpha val="35000"/>
                </a:srgbClr>
              </a:outerShdw>
            </a:effectLst>
          </c:spPr>
          <c:marker>
            <c:symbol val="none"/>
          </c:marker>
          <c:cat>
            <c:numRef>
              <c:f>Data!$E$4:$AM$4</c:f>
              <c:numCache>
                <c:formatCode>General</c:formatCode>
                <c:ptCount val="35"/>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pt idx="34">
                  <c:v>2024</c:v>
                </c:pt>
              </c:numCache>
            </c:numRef>
          </c:cat>
          <c:val>
            <c:numRef>
              <c:f>Data!$E$5:$AM$5</c:f>
              <c:numCache>
                <c:formatCode>0.00%</c:formatCode>
                <c:ptCount val="35"/>
                <c:pt idx="0">
                  <c:v>0.80354621098839341</c:v>
                </c:pt>
                <c:pt idx="1">
                  <c:v>0.80755646790991309</c:v>
                </c:pt>
                <c:pt idx="2">
                  <c:v>0.80658786809116911</c:v>
                </c:pt>
                <c:pt idx="3">
                  <c:v>0.80374781411866136</c:v>
                </c:pt>
                <c:pt idx="4">
                  <c:v>0.80169506270611113</c:v>
                </c:pt>
                <c:pt idx="5">
                  <c:v>0.80275284248338474</c:v>
                </c:pt>
                <c:pt idx="6">
                  <c:v>0.8118854109332635</c:v>
                </c:pt>
                <c:pt idx="7">
                  <c:v>0.82341523204310163</c:v>
                </c:pt>
                <c:pt idx="8">
                  <c:v>0.83800762392359884</c:v>
                </c:pt>
                <c:pt idx="9">
                  <c:v>0.84244893197277693</c:v>
                </c:pt>
                <c:pt idx="10">
                  <c:v>0.85802121141514531</c:v>
                </c:pt>
                <c:pt idx="11">
                  <c:v>0.87128241631787207</c:v>
                </c:pt>
                <c:pt idx="12">
                  <c:v>0.89020474420675677</c:v>
                </c:pt>
                <c:pt idx="13">
                  <c:v>0.89962627240385629</c:v>
                </c:pt>
                <c:pt idx="14">
                  <c:v>0.90355484860614599</c:v>
                </c:pt>
                <c:pt idx="15">
                  <c:v>0.92144046079112174</c:v>
                </c:pt>
                <c:pt idx="16">
                  <c:v>0.94726918050754083</c:v>
                </c:pt>
                <c:pt idx="17">
                  <c:v>0.94687115426321533</c:v>
                </c:pt>
                <c:pt idx="18">
                  <c:v>0.93533011812827282</c:v>
                </c:pt>
                <c:pt idx="19">
                  <c:v>0.92593224517429074</c:v>
                </c:pt>
                <c:pt idx="20">
                  <c:v>0.88977508396903904</c:v>
                </c:pt>
                <c:pt idx="21">
                  <c:v>0.85508466962047369</c:v>
                </c:pt>
                <c:pt idx="22">
                  <c:v>0.84342411586166777</c:v>
                </c:pt>
                <c:pt idx="23">
                  <c:v>0.834864975782728</c:v>
                </c:pt>
                <c:pt idx="24">
                  <c:v>0.8415349419558944</c:v>
                </c:pt>
                <c:pt idx="25">
                  <c:v>0.85431298635083741</c:v>
                </c:pt>
                <c:pt idx="26">
                  <c:v>0.86007110949387344</c:v>
                </c:pt>
                <c:pt idx="27">
                  <c:v>0.8689293684703322</c:v>
                </c:pt>
                <c:pt idx="28">
                  <c:v>0.8594685897597224</c:v>
                </c:pt>
                <c:pt idx="29">
                  <c:v>0.85952697896523156</c:v>
                </c:pt>
                <c:pt idx="30">
                  <c:v>0.7914426906759956</c:v>
                </c:pt>
                <c:pt idx="31">
                  <c:v>0.81663460499286</c:v>
                </c:pt>
                <c:pt idx="32">
                  <c:v>0.84224374630582644</c:v>
                </c:pt>
                <c:pt idx="33">
                  <c:v>0.86605101333747692</c:v>
                </c:pt>
                <c:pt idx="34">
                  <c:v>0.87776547326526466</c:v>
                </c:pt>
              </c:numCache>
            </c:numRef>
          </c:val>
          <c:smooth val="0"/>
          <c:extLst>
            <c:ext xmlns:c16="http://schemas.microsoft.com/office/drawing/2014/chart" uri="{C3380CC4-5D6E-409C-BE32-E72D297353CC}">
              <c16:uniqueId val="{00000001-BF92-4669-99BA-C6EBE87928E3}"/>
            </c:ext>
          </c:extLst>
        </c:ser>
        <c:dLbls>
          <c:showLegendKey val="0"/>
          <c:showVal val="0"/>
          <c:showCatName val="0"/>
          <c:showSerName val="0"/>
          <c:showPercent val="0"/>
          <c:showBubbleSize val="0"/>
        </c:dLbls>
        <c:smooth val="0"/>
        <c:axId val="1718741487"/>
        <c:axId val="1718740527"/>
      </c:lineChart>
      <c:dateAx>
        <c:axId val="1718741487"/>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2"/>
                </a:solidFill>
                <a:latin typeface="+mn-lt"/>
                <a:ea typeface="+mn-ea"/>
                <a:cs typeface="+mn-cs"/>
              </a:defRPr>
            </a:pPr>
            <a:endParaRPr lang="es-ES"/>
          </a:p>
        </c:txPr>
        <c:crossAx val="1718740527"/>
        <c:crosses val="autoZero"/>
        <c:auto val="0"/>
        <c:lblOffset val="100"/>
        <c:baseTimeUnit val="days"/>
      </c:dateAx>
      <c:valAx>
        <c:axId val="1718740527"/>
        <c:scaling>
          <c:orientation val="minMax"/>
          <c:min val="0.78"/>
        </c:scaling>
        <c:delete val="0"/>
        <c:axPos val="l"/>
        <c:majorGridlines>
          <c:spPr>
            <a:ln w="9525" cap="flat" cmpd="sng" algn="ctr">
              <a:solidFill>
                <a:schemeClr val="tx2">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2"/>
                </a:solidFill>
                <a:latin typeface="+mn-lt"/>
                <a:ea typeface="+mn-ea"/>
                <a:cs typeface="+mn-cs"/>
              </a:defRPr>
            </a:pPr>
            <a:endParaRPr lang="es-ES"/>
          </a:p>
        </c:txPr>
        <c:crossAx val="17187414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26</xdr:col>
      <xdr:colOff>504824</xdr:colOff>
      <xdr:row>4</xdr:row>
      <xdr:rowOff>14286</xdr:rowOff>
    </xdr:from>
    <xdr:to>
      <xdr:col>36</xdr:col>
      <xdr:colOff>457199</xdr:colOff>
      <xdr:row>18</xdr:row>
      <xdr:rowOff>114299</xdr:rowOff>
    </xdr:to>
    <xdr:graphicFrame macro="">
      <xdr:nvGraphicFramePr>
        <xdr:cNvPr id="3" name="Gráfico 2">
          <a:extLst>
            <a:ext uri="{FF2B5EF4-FFF2-40B4-BE49-F238E27FC236}">
              <a16:creationId xmlns:a16="http://schemas.microsoft.com/office/drawing/2014/main" id="{E6562AD5-39C0-8B1A-41AE-30AF3BF416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9"/>
  <sheetViews>
    <sheetView tabSelected="1" topLeftCell="W4" workbookViewId="0">
      <selection activeCell="AO14" sqref="AO14"/>
    </sheetView>
  </sheetViews>
  <sheetFormatPr baseColWidth="10" defaultColWidth="9.140625" defaultRowHeight="15" x14ac:dyDescent="0.25"/>
  <cols>
    <col min="5" max="39" width="9.28515625" bestFit="1" customWidth="1"/>
  </cols>
  <sheetData>
    <row r="1" spans="1:39" x14ac:dyDescent="0.25">
      <c r="A1" t="s">
        <v>71</v>
      </c>
      <c r="B1" s="1" t="s">
        <v>56</v>
      </c>
      <c r="C1" t="s">
        <v>24</v>
      </c>
      <c r="D1" s="1" t="s">
        <v>11</v>
      </c>
      <c r="E1" t="s">
        <v>52</v>
      </c>
      <c r="F1" t="s">
        <v>42</v>
      </c>
      <c r="G1" t="s">
        <v>7</v>
      </c>
      <c r="H1" t="s">
        <v>80</v>
      </c>
      <c r="I1" t="s">
        <v>72</v>
      </c>
      <c r="J1" t="s">
        <v>32</v>
      </c>
      <c r="K1" t="s">
        <v>26</v>
      </c>
      <c r="L1" t="s">
        <v>18</v>
      </c>
      <c r="M1" t="s">
        <v>58</v>
      </c>
      <c r="N1" t="s">
        <v>49</v>
      </c>
      <c r="O1" t="s">
        <v>69</v>
      </c>
      <c r="P1" t="s">
        <v>60</v>
      </c>
      <c r="Q1" t="s">
        <v>51</v>
      </c>
      <c r="R1" t="s">
        <v>15</v>
      </c>
      <c r="S1" t="s">
        <v>5</v>
      </c>
      <c r="T1" t="s">
        <v>79</v>
      </c>
      <c r="U1" t="s">
        <v>37</v>
      </c>
      <c r="V1" t="s">
        <v>31</v>
      </c>
      <c r="W1" t="s">
        <v>25</v>
      </c>
      <c r="X1" t="s">
        <v>64</v>
      </c>
      <c r="Y1" t="s">
        <v>57</v>
      </c>
      <c r="Z1" t="s">
        <v>48</v>
      </c>
      <c r="AA1" t="s">
        <v>10</v>
      </c>
      <c r="AB1" t="s">
        <v>1</v>
      </c>
      <c r="AC1" t="s">
        <v>77</v>
      </c>
      <c r="AD1" t="s">
        <v>67</v>
      </c>
      <c r="AE1" t="s">
        <v>29</v>
      </c>
      <c r="AF1" t="s">
        <v>23</v>
      </c>
      <c r="AG1" t="s">
        <v>12</v>
      </c>
      <c r="AH1" t="s">
        <v>53</v>
      </c>
      <c r="AI1" t="s">
        <v>43</v>
      </c>
      <c r="AJ1" t="s">
        <v>36</v>
      </c>
      <c r="AK1" t="s">
        <v>81</v>
      </c>
      <c r="AL1" t="s">
        <v>75</v>
      </c>
      <c r="AM1" t="s">
        <v>62</v>
      </c>
    </row>
    <row r="2" spans="1:39" x14ac:dyDescent="0.25">
      <c r="A2" t="s">
        <v>35</v>
      </c>
      <c r="B2" s="1" t="s">
        <v>19</v>
      </c>
      <c r="C2" t="s">
        <v>33</v>
      </c>
      <c r="D2" s="1" t="s">
        <v>16</v>
      </c>
      <c r="E2">
        <v>13666.537988341646</v>
      </c>
      <c r="F2">
        <v>14451.591780034418</v>
      </c>
      <c r="G2">
        <v>14845.395920457087</v>
      </c>
      <c r="H2">
        <v>14962.723123970483</v>
      </c>
      <c r="I2">
        <v>15572.127585219121</v>
      </c>
      <c r="J2">
        <v>16265.116191102003</v>
      </c>
      <c r="K2">
        <v>16964.935227860977</v>
      </c>
      <c r="L2">
        <v>17899.193925167521</v>
      </c>
      <c r="M2">
        <v>19081.576544188119</v>
      </c>
      <c r="N2">
        <v>19938.178677317319</v>
      </c>
      <c r="O2">
        <v>21577.597313679951</v>
      </c>
      <c r="P2">
        <v>22954.820491125236</v>
      </c>
      <c r="Q2">
        <v>24377.841707639382</v>
      </c>
      <c r="R2">
        <v>25060.51537657412</v>
      </c>
      <c r="S2">
        <v>26163.304624545191</v>
      </c>
      <c r="T2">
        <v>27629.707702496551</v>
      </c>
      <c r="U2">
        <v>30755.29878886458</v>
      </c>
      <c r="V2">
        <v>32537.343540273549</v>
      </c>
      <c r="W2">
        <v>33349.942580612951</v>
      </c>
      <c r="X2">
        <v>32201.477352781421</v>
      </c>
      <c r="Y2">
        <v>31808.217987953871</v>
      </c>
      <c r="Z2">
        <v>32015.575200040119</v>
      </c>
      <c r="AA2">
        <v>31869.783982221932</v>
      </c>
      <c r="AB2">
        <v>32613.689181147391</v>
      </c>
      <c r="AC2">
        <v>33760.955564636875</v>
      </c>
      <c r="AD2">
        <v>35238.069137642371</v>
      </c>
      <c r="AE2">
        <v>37612.71886813415</v>
      </c>
      <c r="AF2">
        <v>39825.249811629154</v>
      </c>
      <c r="AG2">
        <v>41015.156575518748</v>
      </c>
      <c r="AH2">
        <v>44042.757577335979</v>
      </c>
      <c r="AI2">
        <v>39327.847926959861</v>
      </c>
      <c r="AJ2">
        <v>44251.665822262141</v>
      </c>
      <c r="AK2">
        <v>50468.096692482883</v>
      </c>
      <c r="AL2">
        <v>53229.922021795021</v>
      </c>
      <c r="AM2">
        <v>56926.2399029671</v>
      </c>
    </row>
    <row r="3" spans="1:39" x14ac:dyDescent="0.25">
      <c r="A3" t="s">
        <v>35</v>
      </c>
      <c r="B3" s="1" t="s">
        <v>19</v>
      </c>
      <c r="C3" t="s">
        <v>38</v>
      </c>
      <c r="D3" s="1" t="s">
        <v>46</v>
      </c>
      <c r="E3">
        <v>17007.781010542341</v>
      </c>
      <c r="F3">
        <v>17895.456669968204</v>
      </c>
      <c r="G3">
        <v>18405.181267590182</v>
      </c>
      <c r="H3">
        <v>18616.191373879694</v>
      </c>
      <c r="I3">
        <v>19424.003351917385</v>
      </c>
      <c r="J3">
        <v>20261.673743545362</v>
      </c>
      <c r="K3">
        <v>20895.726169484631</v>
      </c>
      <c r="L3">
        <v>21737.749350051603</v>
      </c>
      <c r="M3">
        <v>22770.170580128022</v>
      </c>
      <c r="N3">
        <v>23666.928546787694</v>
      </c>
      <c r="O3">
        <v>25148.093108434634</v>
      </c>
      <c r="P3">
        <v>26346.01601181697</v>
      </c>
      <c r="Q3">
        <v>27384.533576443671</v>
      </c>
      <c r="R3">
        <v>27856.584612197788</v>
      </c>
      <c r="S3">
        <v>28955.967271832564</v>
      </c>
      <c r="T3">
        <v>29985.342383136176</v>
      </c>
      <c r="U3">
        <v>32467.327578826207</v>
      </c>
      <c r="V3">
        <v>34363.010631147263</v>
      </c>
      <c r="W3">
        <v>35655.798882378425</v>
      </c>
      <c r="X3">
        <v>34777.35819289893</v>
      </c>
      <c r="Y3">
        <v>35748.604968871754</v>
      </c>
      <c r="Z3">
        <v>37441.409415339091</v>
      </c>
      <c r="AA3">
        <v>37786.190106341448</v>
      </c>
      <c r="AB3">
        <v>39064.627367521811</v>
      </c>
      <c r="AC3">
        <v>40118.305112999478</v>
      </c>
      <c r="AD3">
        <v>41247.259143467229</v>
      </c>
      <c r="AE3">
        <v>43732.103605093922</v>
      </c>
      <c r="AF3">
        <v>45832.551248368705</v>
      </c>
      <c r="AG3">
        <v>47721.530564584289</v>
      </c>
      <c r="AH3">
        <v>51240.692444998327</v>
      </c>
      <c r="AI3">
        <v>49691.340118851476</v>
      </c>
      <c r="AJ3">
        <v>54187.840622611191</v>
      </c>
      <c r="AK3">
        <v>59921.010887693141</v>
      </c>
      <c r="AL3">
        <v>61462.802077517743</v>
      </c>
      <c r="AM3">
        <v>64853.587475026754</v>
      </c>
    </row>
    <row r="4" spans="1:39" x14ac:dyDescent="0.25">
      <c r="B4" s="1"/>
      <c r="D4" s="1"/>
      <c r="E4">
        <v>1990</v>
      </c>
      <c r="F4">
        <v>1991</v>
      </c>
      <c r="G4">
        <v>1992</v>
      </c>
      <c r="H4">
        <v>1993</v>
      </c>
      <c r="I4">
        <v>1994</v>
      </c>
      <c r="J4">
        <v>1995</v>
      </c>
      <c r="K4">
        <v>1996</v>
      </c>
      <c r="L4">
        <v>1997</v>
      </c>
      <c r="M4">
        <v>1998</v>
      </c>
      <c r="N4">
        <v>1999</v>
      </c>
      <c r="O4">
        <v>2000</v>
      </c>
      <c r="P4">
        <v>2001</v>
      </c>
      <c r="Q4">
        <v>2002</v>
      </c>
      <c r="R4">
        <v>2003</v>
      </c>
      <c r="S4">
        <v>2004</v>
      </c>
      <c r="T4">
        <v>2005</v>
      </c>
      <c r="U4">
        <v>2006</v>
      </c>
      <c r="V4">
        <v>2007</v>
      </c>
      <c r="W4">
        <v>2008</v>
      </c>
      <c r="X4">
        <v>2009</v>
      </c>
      <c r="Y4">
        <v>2010</v>
      </c>
      <c r="Z4">
        <v>2011</v>
      </c>
      <c r="AA4">
        <v>2012</v>
      </c>
      <c r="AB4">
        <v>2013</v>
      </c>
      <c r="AC4">
        <v>2014</v>
      </c>
      <c r="AD4">
        <v>2015</v>
      </c>
      <c r="AE4">
        <v>2016</v>
      </c>
      <c r="AF4">
        <v>2017</v>
      </c>
      <c r="AG4">
        <v>2018</v>
      </c>
      <c r="AH4">
        <v>2019</v>
      </c>
      <c r="AI4">
        <v>2020</v>
      </c>
      <c r="AJ4">
        <v>2021</v>
      </c>
      <c r="AK4">
        <v>2022</v>
      </c>
      <c r="AL4">
        <v>2023</v>
      </c>
      <c r="AM4">
        <v>2024</v>
      </c>
    </row>
    <row r="5" spans="1:39" x14ac:dyDescent="0.25">
      <c r="B5" s="1"/>
      <c r="D5" s="1"/>
      <c r="E5" s="2">
        <f t="shared" ref="E5:AM5" si="0">E2/E3</f>
        <v>0.80354621098839341</v>
      </c>
      <c r="F5" s="2">
        <f t="shared" si="0"/>
        <v>0.80755646790991309</v>
      </c>
      <c r="G5" s="2">
        <f t="shared" si="0"/>
        <v>0.80658786809116911</v>
      </c>
      <c r="H5" s="2">
        <f t="shared" si="0"/>
        <v>0.80374781411866136</v>
      </c>
      <c r="I5" s="2">
        <f t="shared" si="0"/>
        <v>0.80169506270611113</v>
      </c>
      <c r="J5" s="2">
        <f t="shared" si="0"/>
        <v>0.80275284248338474</v>
      </c>
      <c r="K5" s="2">
        <f t="shared" si="0"/>
        <v>0.8118854109332635</v>
      </c>
      <c r="L5" s="2">
        <f t="shared" si="0"/>
        <v>0.82341523204310163</v>
      </c>
      <c r="M5" s="2">
        <f t="shared" si="0"/>
        <v>0.83800762392359884</v>
      </c>
      <c r="N5" s="2">
        <f t="shared" si="0"/>
        <v>0.84244893197277693</v>
      </c>
      <c r="O5" s="2">
        <f t="shared" si="0"/>
        <v>0.85802121141514531</v>
      </c>
      <c r="P5" s="2">
        <f t="shared" si="0"/>
        <v>0.87128241631787207</v>
      </c>
      <c r="Q5" s="2">
        <f t="shared" si="0"/>
        <v>0.89020474420675677</v>
      </c>
      <c r="R5" s="2">
        <f t="shared" si="0"/>
        <v>0.89962627240385629</v>
      </c>
      <c r="S5" s="2">
        <f t="shared" si="0"/>
        <v>0.90355484860614599</v>
      </c>
      <c r="T5" s="2">
        <f t="shared" si="0"/>
        <v>0.92144046079112174</v>
      </c>
      <c r="U5" s="2">
        <f t="shared" si="0"/>
        <v>0.94726918050754083</v>
      </c>
      <c r="V5" s="2">
        <f t="shared" si="0"/>
        <v>0.94687115426321533</v>
      </c>
      <c r="W5" s="2">
        <f t="shared" si="0"/>
        <v>0.93533011812827282</v>
      </c>
      <c r="X5" s="2">
        <f t="shared" si="0"/>
        <v>0.92593224517429074</v>
      </c>
      <c r="Y5" s="2">
        <f t="shared" si="0"/>
        <v>0.88977508396903904</v>
      </c>
      <c r="Z5" s="2">
        <f t="shared" si="0"/>
        <v>0.85508466962047369</v>
      </c>
      <c r="AA5" s="2">
        <f t="shared" si="0"/>
        <v>0.84342411586166777</v>
      </c>
      <c r="AB5" s="2">
        <f t="shared" si="0"/>
        <v>0.834864975782728</v>
      </c>
      <c r="AC5" s="2">
        <f t="shared" si="0"/>
        <v>0.8415349419558944</v>
      </c>
      <c r="AD5" s="2">
        <f t="shared" si="0"/>
        <v>0.85431298635083741</v>
      </c>
      <c r="AE5" s="2">
        <f t="shared" si="0"/>
        <v>0.86007110949387344</v>
      </c>
      <c r="AF5" s="2">
        <f t="shared" si="0"/>
        <v>0.8689293684703322</v>
      </c>
      <c r="AG5" s="2">
        <f t="shared" si="0"/>
        <v>0.8594685897597224</v>
      </c>
      <c r="AH5" s="2">
        <f t="shared" si="0"/>
        <v>0.85952697896523156</v>
      </c>
      <c r="AI5" s="2">
        <f t="shared" si="0"/>
        <v>0.7914426906759956</v>
      </c>
      <c r="AJ5" s="2">
        <f t="shared" si="0"/>
        <v>0.81663460499286</v>
      </c>
      <c r="AK5" s="2">
        <f t="shared" si="0"/>
        <v>0.84224374630582644</v>
      </c>
      <c r="AL5" s="2">
        <f t="shared" si="0"/>
        <v>0.86605101333747692</v>
      </c>
      <c r="AM5" s="2">
        <f t="shared" si="0"/>
        <v>0.87776547326526466</v>
      </c>
    </row>
    <row r="6" spans="1:39" x14ac:dyDescent="0.25">
      <c r="B6" s="1"/>
      <c r="D6" s="1"/>
    </row>
    <row r="7" spans="1:39" x14ac:dyDescent="0.25">
      <c r="B7" s="1"/>
      <c r="D7" s="1"/>
    </row>
    <row r="8" spans="1:39" x14ac:dyDescent="0.25">
      <c r="A8" t="s">
        <v>13</v>
      </c>
      <c r="B8" s="1"/>
      <c r="D8" s="1"/>
    </row>
    <row r="9" spans="1:39" x14ac:dyDescent="0.25">
      <c r="A9" t="s">
        <v>28</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3"/>
  <sheetViews>
    <sheetView workbookViewId="0"/>
  </sheetViews>
  <sheetFormatPr baseColWidth="10" defaultColWidth="9.140625" defaultRowHeight="15" x14ac:dyDescent="0.25"/>
  <cols>
    <col min="1" max="1" width="15.85546875" customWidth="1"/>
    <col min="2" max="15" width="50.85546875" customWidth="1"/>
  </cols>
  <sheetData>
    <row r="1" spans="1:15" x14ac:dyDescent="0.25">
      <c r="A1" t="s">
        <v>14</v>
      </c>
      <c r="B1" t="s">
        <v>34</v>
      </c>
      <c r="C1" t="s">
        <v>76</v>
      </c>
      <c r="D1" t="s">
        <v>59</v>
      </c>
      <c r="E1" t="s">
        <v>44</v>
      </c>
      <c r="F1" t="s">
        <v>70</v>
      </c>
      <c r="G1" t="s">
        <v>41</v>
      </c>
      <c r="H1" t="s">
        <v>21</v>
      </c>
      <c r="I1" t="s">
        <v>73</v>
      </c>
      <c r="J1" t="s">
        <v>47</v>
      </c>
      <c r="K1" t="s">
        <v>27</v>
      </c>
      <c r="L1" t="s">
        <v>4</v>
      </c>
      <c r="M1" t="s">
        <v>65</v>
      </c>
      <c r="N1" t="s">
        <v>0</v>
      </c>
      <c r="O1" t="s">
        <v>68</v>
      </c>
    </row>
    <row r="2" spans="1:15" x14ac:dyDescent="0.25">
      <c r="A2" t="s">
        <v>54</v>
      </c>
      <c r="B2" t="s">
        <v>39</v>
      </c>
      <c r="C2" t="s">
        <v>2</v>
      </c>
      <c r="D2" t="s">
        <v>55</v>
      </c>
      <c r="E2" t="s">
        <v>55</v>
      </c>
      <c r="F2" t="s">
        <v>9</v>
      </c>
      <c r="G2" t="s">
        <v>78</v>
      </c>
      <c r="H2" t="s">
        <v>40</v>
      </c>
      <c r="I2" t="s">
        <v>63</v>
      </c>
      <c r="J2" t="s">
        <v>22</v>
      </c>
      <c r="K2" t="s">
        <v>45</v>
      </c>
      <c r="L2" t="s">
        <v>20</v>
      </c>
      <c r="M2" t="s">
        <v>50</v>
      </c>
      <c r="N2" t="s">
        <v>66</v>
      </c>
      <c r="O2" t="s">
        <v>6</v>
      </c>
    </row>
    <row r="3" spans="1:15" x14ac:dyDescent="0.25">
      <c r="A3" t="s">
        <v>19</v>
      </c>
      <c r="B3" t="s">
        <v>39</v>
      </c>
      <c r="C3" t="s">
        <v>35</v>
      </c>
      <c r="D3" t="s">
        <v>17</v>
      </c>
      <c r="E3" t="s">
        <v>17</v>
      </c>
      <c r="F3" t="s">
        <v>61</v>
      </c>
      <c r="G3" t="s">
        <v>3</v>
      </c>
      <c r="H3" t="s">
        <v>40</v>
      </c>
      <c r="I3" t="s">
        <v>8</v>
      </c>
      <c r="J3" t="s">
        <v>22</v>
      </c>
      <c r="K3" t="s">
        <v>30</v>
      </c>
      <c r="L3" t="s">
        <v>20</v>
      </c>
      <c r="M3" t="s">
        <v>82</v>
      </c>
      <c r="N3" t="s">
        <v>74</v>
      </c>
      <c r="O3" t="s">
        <v>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Data</vt:lpstr>
      <vt:lpstr>Series - 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Diego José Pedregal Tercero</dc:creator>
  <cp:lastModifiedBy>Diego José Pedregal Tercero</cp:lastModifiedBy>
  <dcterms:created xsi:type="dcterms:W3CDTF">2025-10-07T15:44:11Z</dcterms:created>
  <dcterms:modified xsi:type="dcterms:W3CDTF">2025-10-07T15:52:24Z</dcterms:modified>
</cp:coreProperties>
</file>