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diego_pedregal_uclm_es/Documents/cursoCorriente/docencia/GE/libroQuarto/"/>
    </mc:Choice>
  </mc:AlternateContent>
  <xr:revisionPtr revIDLastSave="119" documentId="13_ncr:1_{FAFC96D7-72FB-B841-B395-F5F9CD63B021}" xr6:coauthVersionLast="47" xr6:coauthVersionMax="47" xr10:uidLastSave="{8E826609-6CB6-CD4B-B48F-7713722E4A7E}"/>
  <bookViews>
    <workbookView xWindow="0" yWindow="500" windowWidth="28800" windowHeight="15940" xr2:uid="{00000000-000D-0000-FFFF-FFFF00000000}"/>
  </bookViews>
  <sheets>
    <sheet name="Físi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BlkCD/SY0XxViK2AB1Q3JkUQVbg=="/>
    </ext>
  </extLst>
</workbook>
</file>

<file path=xl/calcChain.xml><?xml version="1.0" encoding="utf-8"?>
<calcChain xmlns="http://schemas.openxmlformats.org/spreadsheetml/2006/main">
  <c r="Z8" i="1" l="1"/>
  <c r="AA8" i="1" s="1"/>
  <c r="Z4" i="1"/>
  <c r="AA4" i="1" s="1"/>
  <c r="Z5" i="1"/>
  <c r="AA5" i="1" s="1"/>
  <c r="Z6" i="1"/>
  <c r="AA6" i="1" s="1"/>
  <c r="Z7" i="1"/>
  <c r="AA7" i="1" s="1"/>
  <c r="Z3" i="1"/>
  <c r="AA3" i="1" s="1"/>
  <c r="C4" i="1"/>
  <c r="C6" i="1" s="1"/>
  <c r="V13" i="1" s="1"/>
  <c r="W13" i="1" s="1"/>
  <c r="V9" i="1" l="1"/>
  <c r="X8" i="1" s="1"/>
  <c r="Y8" i="1" s="1"/>
  <c r="AA9" i="1"/>
  <c r="C5" i="1"/>
  <c r="X7" i="1" l="1"/>
  <c r="Y7" i="1" s="1"/>
  <c r="X3" i="1"/>
  <c r="Y3" i="1" s="1"/>
  <c r="X6" i="1"/>
  <c r="Y6" i="1" s="1"/>
  <c r="X4" i="1"/>
  <c r="Y4" i="1" s="1"/>
  <c r="X5" i="1"/>
  <c r="Y5" i="1" s="1"/>
  <c r="Y9" i="1" l="1"/>
  <c r="C7" i="1" s="1"/>
  <c r="C8" i="1" s="1"/>
  <c r="C9" i="1" l="1"/>
  <c r="C12" i="1" s="1"/>
  <c r="D12" i="1" s="1"/>
  <c r="C11" i="1" l="1"/>
  <c r="D11" i="1" s="1"/>
</calcChain>
</file>

<file path=xl/sharedStrings.xml><?xml version="1.0" encoding="utf-8"?>
<sst xmlns="http://schemas.openxmlformats.org/spreadsheetml/2006/main" count="18" uniqueCount="18">
  <si>
    <t>Tipos</t>
  </si>
  <si>
    <t>Sueldo bruto:</t>
  </si>
  <si>
    <t>Desde</t>
  </si>
  <si>
    <t>Hasta</t>
  </si>
  <si>
    <t>Cotización SS empresa:</t>
  </si>
  <si>
    <t>Cotización SS trabajador:</t>
  </si>
  <si>
    <t>IRPF:</t>
  </si>
  <si>
    <t>Consumo:</t>
  </si>
  <si>
    <t>IVA y especiales:</t>
  </si>
  <si>
    <t>Base imponible aproximada:</t>
  </si>
  <si>
    <t>Tabla IRPF 2024</t>
  </si>
  <si>
    <t>Reducción general</t>
  </si>
  <si>
    <t>Mínimo personal</t>
  </si>
  <si>
    <t>Base imponible bruta</t>
  </si>
  <si>
    <t>Coste laboral:</t>
  </si>
  <si>
    <t>Otros impuestos:</t>
  </si>
  <si>
    <t>IMPOSICIÓN (COSTE L.):</t>
  </si>
  <si>
    <t>IMPOSICIÓN (SALARIO B.):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</si>
</sst>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€&quot;;[Red]\-#,##0\ &quot;€&quot;"/>
    <numFmt numFmtId="164" formatCode="#,##0.00\ &quot;€&quot;"/>
    <numFmt numFmtId="165" formatCode="0.0%"/>
  </numFmts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Helvetica Neue"/>
      <family val="2"/>
    </font>
    <font>
      <b/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gradientFill>
        <stop position="0">
          <color theme="0"/>
        </stop>
        <stop position="1">
          <color rgb="FFC00000"/>
        </stop>
      </gradientFill>
    </fill>
    <fill>
      <gradientFill degree="180">
        <stop position="0">
          <color theme="0"/>
        </stop>
        <stop position="1">
          <color rgb="FFC00000"/>
        </stop>
      </gradientFill>
    </fill>
    <fill>
      <gradientFill degree="180">
        <stop position="0">
          <color theme="0"/>
        </stop>
        <stop position="1">
          <color rgb="FF92D050"/>
        </stop>
      </gradientFill>
    </fill>
    <fill>
      <gradientFill>
        <stop position="0">
          <color theme="0"/>
        </stop>
        <stop position="1">
          <color theme="3" tint="0.49803155613879818"/>
        </stop>
      </gradientFill>
    </fill>
  </fills>
  <borders count="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6" fontId="3" fillId="0" borderId="0" xfId="0" applyNumberFormat="1" applyFont="1"/>
    <xf numFmtId="9" fontId="3" fillId="0" borderId="0" xfId="0" applyNumberFormat="1" applyFont="1"/>
    <xf numFmtId="165" fontId="1" fillId="0" borderId="0" xfId="0" applyNumberFormat="1" applyFont="1"/>
    <xf numFmtId="0" fontId="1" fillId="3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1" fillId="3" borderId="1" xfId="0" applyFont="1" applyFill="1" applyBorder="1"/>
    <xf numFmtId="165" fontId="2" fillId="2" borderId="3" xfId="0" applyNumberFormat="1" applyFont="1" applyFill="1" applyBorder="1" applyAlignment="1">
      <alignment horizontal="center"/>
    </xf>
    <xf numFmtId="165" fontId="1" fillId="4" borderId="4" xfId="0" applyNumberFormat="1" applyFont="1" applyFill="1" applyBorder="1"/>
    <xf numFmtId="165" fontId="1" fillId="5" borderId="4" xfId="0" applyNumberFormat="1" applyFont="1" applyFill="1" applyBorder="1" applyProtection="1">
      <protection locked="0"/>
    </xf>
    <xf numFmtId="165" fontId="1" fillId="4" borderId="4" xfId="0" applyNumberFormat="1" applyFont="1" applyFill="1" applyBorder="1" applyProtection="1">
      <protection locked="0"/>
    </xf>
    <xf numFmtId="165" fontId="4" fillId="2" borderId="3" xfId="0" applyNumberFormat="1" applyFont="1" applyFill="1" applyBorder="1"/>
    <xf numFmtId="164" fontId="1" fillId="2" borderId="5" xfId="0" applyNumberFormat="1" applyFont="1" applyFill="1" applyBorder="1"/>
    <xf numFmtId="164" fontId="1" fillId="5" borderId="0" xfId="0" applyNumberFormat="1" applyFont="1" applyFill="1" applyProtection="1">
      <protection locked="0"/>
    </xf>
    <xf numFmtId="164" fontId="2" fillId="4" borderId="0" xfId="0" applyNumberFormat="1" applyFont="1" applyFill="1"/>
    <xf numFmtId="164" fontId="1" fillId="4" borderId="0" xfId="0" applyNumberFormat="1" applyFont="1" applyFill="1"/>
    <xf numFmtId="164" fontId="4" fillId="2" borderId="5" xfId="0" applyNumberFormat="1" applyFont="1" applyFill="1" applyBorder="1"/>
    <xf numFmtId="0" fontId="4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tabSelected="1" topLeftCell="K1" workbookViewId="0">
      <selection activeCell="C4" sqref="C4"/>
    </sheetView>
  </sheetViews>
  <sheetFormatPr baseColWidth="10" defaultColWidth="11.1640625" defaultRowHeight="15" customHeight="1" x14ac:dyDescent="0.2"/>
  <cols>
    <col min="1" max="1" width="4.33203125" customWidth="1"/>
    <col min="2" max="2" width="33.5" customWidth="1"/>
    <col min="3" max="3" width="19.1640625" customWidth="1"/>
    <col min="4" max="5" width="11" customWidth="1"/>
    <col min="6" max="6" width="24.5" customWidth="1"/>
    <col min="7" max="8" width="11" customWidth="1"/>
    <col min="9" max="9" width="13.33203125" customWidth="1"/>
    <col min="10" max="10" width="12.6640625" customWidth="1"/>
    <col min="11" max="11" width="12.1640625" customWidth="1"/>
    <col min="12" max="25" width="10.5" customWidth="1"/>
  </cols>
  <sheetData>
    <row r="1" spans="1:28" ht="15.75" customHeight="1" thickBot="1" x14ac:dyDescent="0.25">
      <c r="D1" s="1"/>
      <c r="N1" s="1"/>
      <c r="O1" s="1"/>
      <c r="P1" s="1"/>
      <c r="Q1" s="1"/>
      <c r="R1" s="1"/>
      <c r="S1" s="1"/>
      <c r="T1" s="1"/>
      <c r="U1" s="1" t="s">
        <v>10</v>
      </c>
      <c r="V1" s="1"/>
      <c r="W1" s="1"/>
      <c r="X1" s="2"/>
      <c r="Y1" s="1"/>
      <c r="Z1" s="1"/>
      <c r="AA1" s="1"/>
      <c r="AB1" s="1"/>
    </row>
    <row r="2" spans="1:28" ht="15.75" customHeight="1" thickTop="1" thickBot="1" x14ac:dyDescent="0.25">
      <c r="B2" s="9"/>
      <c r="C2" s="15"/>
      <c r="D2" s="10" t="s">
        <v>0</v>
      </c>
      <c r="N2" s="1"/>
      <c r="O2" s="1"/>
      <c r="P2" s="1"/>
      <c r="Q2" s="1"/>
      <c r="R2" s="1"/>
      <c r="S2" s="1"/>
      <c r="T2" s="1"/>
      <c r="U2" s="3" t="s">
        <v>2</v>
      </c>
      <c r="V2" s="3" t="s">
        <v>3</v>
      </c>
      <c r="W2" s="3"/>
      <c r="X2" s="2"/>
      <c r="Y2" s="1"/>
      <c r="Z2" s="1"/>
      <c r="AA2" s="1"/>
      <c r="AB2" s="1"/>
    </row>
    <row r="3" spans="1:28" ht="15.75" customHeight="1" thickTop="1" x14ac:dyDescent="0.2">
      <c r="B3" s="7" t="s">
        <v>1</v>
      </c>
      <c r="C3" s="16">
        <v>20000</v>
      </c>
      <c r="D3" s="11"/>
      <c r="N3" s="1"/>
      <c r="O3" s="1"/>
      <c r="P3" s="1"/>
      <c r="Q3" s="1"/>
      <c r="R3" s="1"/>
      <c r="S3" s="1"/>
      <c r="T3" s="1"/>
      <c r="U3" s="4">
        <v>0</v>
      </c>
      <c r="V3" s="4">
        <v>12450</v>
      </c>
      <c r="W3" s="5">
        <v>0.19</v>
      </c>
      <c r="X3" s="2">
        <f t="shared" ref="X3:X8" si="0">IF(V$9&gt;V3,V3-U3,MAX(V$9-U3,0))</f>
        <v>12450</v>
      </c>
      <c r="Y3" s="2">
        <f t="shared" ref="Y3:Y8" si="1">X3*W3</f>
        <v>2365.5</v>
      </c>
      <c r="Z3" s="2">
        <f t="shared" ref="Z3:Z8" si="2">IF(V$12&gt;V3,V3-U3,MAX(V$12-U3,0))</f>
        <v>5500</v>
      </c>
      <c r="AA3" s="2">
        <f>Z3*W3</f>
        <v>1045</v>
      </c>
      <c r="AB3" s="1"/>
    </row>
    <row r="4" spans="1:28" ht="15.75" customHeight="1" x14ac:dyDescent="0.2">
      <c r="B4" s="8" t="s">
        <v>14</v>
      </c>
      <c r="C4" s="17">
        <f>C3/(1-D5)</f>
        <v>26178.010471204187</v>
      </c>
      <c r="D4" s="11"/>
      <c r="N4" s="1"/>
      <c r="O4" s="1"/>
      <c r="P4" s="1"/>
      <c r="Q4" s="1"/>
      <c r="R4" s="1"/>
      <c r="S4" s="1"/>
      <c r="T4" s="1"/>
      <c r="U4" s="4">
        <v>12450</v>
      </c>
      <c r="V4" s="4">
        <v>20199</v>
      </c>
      <c r="W4" s="5">
        <v>0.24</v>
      </c>
      <c r="X4" s="2">
        <f t="shared" si="0"/>
        <v>3204.8657068062821</v>
      </c>
      <c r="Y4" s="2">
        <f t="shared" si="1"/>
        <v>769.16776963350765</v>
      </c>
      <c r="Z4" s="2">
        <f t="shared" si="2"/>
        <v>0</v>
      </c>
      <c r="AA4" s="2">
        <f t="shared" ref="AA4:AA8" si="3">Z4*W4</f>
        <v>0</v>
      </c>
      <c r="AB4" s="1"/>
    </row>
    <row r="5" spans="1:28" ht="15.75" customHeight="1" x14ac:dyDescent="0.2">
      <c r="B5" s="7" t="s">
        <v>4</v>
      </c>
      <c r="C5" s="18">
        <f>C4-C3</f>
        <v>6178.0104712041866</v>
      </c>
      <c r="D5" s="12">
        <v>0.23599999999999999</v>
      </c>
      <c r="N5" s="1"/>
      <c r="O5" s="1"/>
      <c r="P5" s="1"/>
      <c r="Q5" s="1"/>
      <c r="R5" s="1"/>
      <c r="S5" s="1"/>
      <c r="T5" s="1"/>
      <c r="U5" s="4">
        <v>20200</v>
      </c>
      <c r="V5" s="4">
        <v>35199</v>
      </c>
      <c r="W5" s="5">
        <v>0.3</v>
      </c>
      <c r="X5" s="2">
        <f t="shared" si="0"/>
        <v>0</v>
      </c>
      <c r="Y5" s="2">
        <f t="shared" si="1"/>
        <v>0</v>
      </c>
      <c r="Z5" s="2">
        <f t="shared" si="2"/>
        <v>0</v>
      </c>
      <c r="AA5" s="2">
        <f t="shared" si="3"/>
        <v>0</v>
      </c>
      <c r="AB5" s="1"/>
    </row>
    <row r="6" spans="1:28" ht="15.75" customHeight="1" x14ac:dyDescent="0.2">
      <c r="B6" s="7" t="s">
        <v>5</v>
      </c>
      <c r="C6" s="18">
        <f>D6*C4</f>
        <v>1230.3664921465968</v>
      </c>
      <c r="D6" s="12">
        <v>4.7E-2</v>
      </c>
      <c r="N6" s="1"/>
      <c r="O6" s="1"/>
      <c r="P6" s="1"/>
      <c r="Q6" s="1"/>
      <c r="R6" s="1"/>
      <c r="S6" s="1"/>
      <c r="T6" s="1"/>
      <c r="U6" s="4">
        <v>35200</v>
      </c>
      <c r="V6" s="4">
        <v>59999</v>
      </c>
      <c r="W6" s="5">
        <v>0.37</v>
      </c>
      <c r="X6" s="2">
        <f t="shared" si="0"/>
        <v>0</v>
      </c>
      <c r="Y6" s="2">
        <f t="shared" si="1"/>
        <v>0</v>
      </c>
      <c r="Z6" s="2">
        <f t="shared" si="2"/>
        <v>0</v>
      </c>
      <c r="AA6" s="2">
        <f t="shared" si="3"/>
        <v>0</v>
      </c>
      <c r="AB6" s="1"/>
    </row>
    <row r="7" spans="1:28" ht="15.75" customHeight="1" x14ac:dyDescent="0.2">
      <c r="B7" s="7" t="s">
        <v>6</v>
      </c>
      <c r="C7" s="18">
        <f>Y9</f>
        <v>2089.6677696335078</v>
      </c>
      <c r="D7" s="13"/>
      <c r="N7" s="1"/>
      <c r="O7" s="1"/>
      <c r="P7" s="1"/>
      <c r="Q7" s="1"/>
      <c r="R7" s="1"/>
      <c r="S7" s="1"/>
      <c r="T7" s="1"/>
      <c r="U7" s="4">
        <v>60000</v>
      </c>
      <c r="V7" s="4">
        <v>299999</v>
      </c>
      <c r="W7" s="5">
        <v>0.45</v>
      </c>
      <c r="X7" s="2">
        <f t="shared" si="0"/>
        <v>0</v>
      </c>
      <c r="Y7" s="2">
        <f t="shared" si="1"/>
        <v>0</v>
      </c>
      <c r="Z7" s="2">
        <f t="shared" si="2"/>
        <v>0</v>
      </c>
      <c r="AA7" s="2">
        <f t="shared" si="3"/>
        <v>0</v>
      </c>
      <c r="AB7" s="1"/>
    </row>
    <row r="8" spans="1:28" ht="15.75" customHeight="1" x14ac:dyDescent="0.2">
      <c r="B8" s="7" t="s">
        <v>7</v>
      </c>
      <c r="C8" s="18">
        <f>D8*(C3-C6-C7)</f>
        <v>10007.979442931937</v>
      </c>
      <c r="D8" s="12">
        <v>0.6</v>
      </c>
      <c r="N8" s="1"/>
      <c r="O8" s="1"/>
      <c r="P8" s="1"/>
      <c r="Q8" s="1"/>
      <c r="R8" s="1"/>
      <c r="S8" s="1"/>
      <c r="T8" s="1"/>
      <c r="U8" s="4">
        <v>300000</v>
      </c>
      <c r="V8" s="4">
        <v>100000000</v>
      </c>
      <c r="W8" s="5">
        <v>0.49</v>
      </c>
      <c r="X8" s="2">
        <f t="shared" si="0"/>
        <v>0</v>
      </c>
      <c r="Y8" s="2">
        <f t="shared" si="1"/>
        <v>0</v>
      </c>
      <c r="Z8" s="2">
        <f t="shared" si="2"/>
        <v>0</v>
      </c>
      <c r="AA8" s="2">
        <f t="shared" si="3"/>
        <v>0</v>
      </c>
      <c r="AB8" s="1"/>
    </row>
    <row r="9" spans="1:28" ht="15.75" customHeight="1" x14ac:dyDescent="0.2">
      <c r="B9" s="7" t="s">
        <v>8</v>
      </c>
      <c r="C9" s="18">
        <f>D9*C8</f>
        <v>1401.1171220104713</v>
      </c>
      <c r="D9" s="12">
        <v>0.14000000000000001</v>
      </c>
      <c r="N9" s="1"/>
      <c r="O9" s="1"/>
      <c r="P9" s="1"/>
      <c r="Q9" s="1"/>
      <c r="R9" s="1"/>
      <c r="S9" s="1"/>
      <c r="T9" s="1"/>
      <c r="U9" s="1" t="s">
        <v>9</v>
      </c>
      <c r="V9" s="2">
        <f>V13-W13</f>
        <v>15654.865706806282</v>
      </c>
      <c r="W9" s="1"/>
      <c r="X9" s="2"/>
      <c r="Y9" s="2">
        <f>MAX(SUM(Y3:Y8)-AA9, 0)</f>
        <v>2089.6677696335078</v>
      </c>
      <c r="Z9" s="2"/>
      <c r="AA9" s="2">
        <f>SUM(AA3:AA8)</f>
        <v>1045</v>
      </c>
      <c r="AB9" s="1"/>
    </row>
    <row r="10" spans="1:28" ht="21.75" customHeight="1" thickBot="1" x14ac:dyDescent="0.25">
      <c r="B10" s="7" t="s">
        <v>15</v>
      </c>
      <c r="C10" s="16"/>
      <c r="D10" s="1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1"/>
      <c r="Z10" s="1"/>
      <c r="AA10" s="1"/>
      <c r="AB10" s="1"/>
    </row>
    <row r="11" spans="1:28" ht="26.25" customHeight="1" thickTop="1" thickBot="1" x14ac:dyDescent="0.35">
      <c r="B11" s="20" t="s">
        <v>16</v>
      </c>
      <c r="C11" s="19">
        <f>C5+C6+C7+C9+C10</f>
        <v>10899.161854994763</v>
      </c>
      <c r="D11" s="14">
        <f>IF(C3="","",C11/C4)</f>
        <v>0.41634798286079999</v>
      </c>
      <c r="N11" s="1"/>
      <c r="O11" s="1"/>
      <c r="P11" s="1"/>
      <c r="Q11" s="1"/>
      <c r="R11" s="1"/>
      <c r="S11" s="1"/>
      <c r="T11" s="1"/>
      <c r="U11" s="1" t="s">
        <v>11</v>
      </c>
      <c r="V11" s="1">
        <v>2000</v>
      </c>
      <c r="W11" s="1"/>
      <c r="X11" s="2"/>
      <c r="Y11" s="1"/>
      <c r="Z11" s="1"/>
      <c r="AA11" s="1"/>
      <c r="AB11" s="1"/>
    </row>
    <row r="12" spans="1:28" ht="24" customHeight="1" thickTop="1" thickBot="1" x14ac:dyDescent="0.35">
      <c r="A12" s="1"/>
      <c r="B12" s="20" t="s">
        <v>17</v>
      </c>
      <c r="C12" s="19">
        <f>C6+C7+C9+C10</f>
        <v>4721.1513837905759</v>
      </c>
      <c r="D12" s="14">
        <f>IF(C3="","",C12/C3)</f>
        <v>0.2360575691895288</v>
      </c>
      <c r="N12" s="1"/>
      <c r="O12" s="1"/>
      <c r="P12" s="1"/>
      <c r="Q12" s="1"/>
      <c r="R12" s="1"/>
      <c r="S12" s="1"/>
      <c r="T12" s="1"/>
      <c r="U12" s="1" t="s">
        <v>12</v>
      </c>
      <c r="V12" s="1">
        <v>5500</v>
      </c>
      <c r="W12" s="1"/>
      <c r="X12" s="2"/>
      <c r="Y12" s="1"/>
      <c r="Z12" s="1"/>
      <c r="AA12" s="1"/>
      <c r="AB12" s="1"/>
    </row>
    <row r="13" spans="1:28" ht="15.75" customHeight="1" thickTop="1" x14ac:dyDescent="0.2">
      <c r="A13" s="1"/>
      <c r="B13" s="2"/>
      <c r="C13" s="6"/>
      <c r="D13" s="1"/>
      <c r="N13" s="1"/>
      <c r="O13" s="1"/>
      <c r="P13" s="1"/>
      <c r="Q13" s="1"/>
      <c r="R13" s="1"/>
      <c r="S13" s="1"/>
      <c r="T13" s="1"/>
      <c r="U13" s="1" t="s">
        <v>13</v>
      </c>
      <c r="V13" s="2">
        <f>C3-C6-V11</f>
        <v>16769.633507853403</v>
      </c>
      <c r="W13" s="1">
        <f>IF(V13+V11&lt;14047.5,6498,IF(V13+V11&lt;19747.5,6498-1.14*(V13-14047.5+V11),0))</f>
        <v>1114.7678010471209</v>
      </c>
      <c r="X13" s="2"/>
      <c r="Y13" s="1"/>
      <c r="Z13" s="1"/>
      <c r="AA13" s="1"/>
      <c r="AB13" s="1"/>
    </row>
    <row r="14" spans="1:28" ht="15.75" customHeight="1" x14ac:dyDescent="0.2">
      <c r="A14" s="1"/>
      <c r="B14" s="2"/>
      <c r="C14" s="6"/>
      <c r="D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"/>
      <c r="Y14" s="1"/>
      <c r="Z14" s="1"/>
      <c r="AA14" s="1"/>
      <c r="AB14" s="1"/>
    </row>
    <row r="15" spans="1:28" ht="15.75" customHeight="1" x14ac:dyDescent="0.2">
      <c r="A15" s="1"/>
      <c r="B15" s="2"/>
      <c r="C15" s="6"/>
      <c r="D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"/>
      <c r="Y15" s="1"/>
      <c r="Z15" s="1"/>
      <c r="AA15" s="1"/>
      <c r="AB15" s="1"/>
    </row>
    <row r="16" spans="1:28" ht="15.75" customHeight="1" x14ac:dyDescent="0.2">
      <c r="A16" s="1"/>
      <c r="B16" s="2"/>
      <c r="C16" s="6"/>
      <c r="D16" s="1"/>
      <c r="N16" s="1"/>
      <c r="O16" s="1"/>
      <c r="P16" s="1"/>
      <c r="Q16" s="1"/>
      <c r="R16" s="1"/>
      <c r="S16" s="1"/>
      <c r="T16" s="1"/>
      <c r="U16" s="2"/>
      <c r="V16" s="2"/>
      <c r="W16" s="1"/>
      <c r="X16" s="2"/>
      <c r="Y16" s="1"/>
      <c r="Z16" s="1"/>
      <c r="AA16" s="1"/>
      <c r="AB16" s="1"/>
    </row>
    <row r="17" spans="1:28" ht="15.75" customHeight="1" x14ac:dyDescent="0.2">
      <c r="A17" s="1"/>
      <c r="B17" s="2"/>
      <c r="C17" s="6"/>
      <c r="D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1"/>
      <c r="Z17" s="1"/>
      <c r="AA17" s="1"/>
      <c r="AB17" s="1"/>
    </row>
    <row r="18" spans="1:28" ht="15.75" customHeight="1" x14ac:dyDescent="0.2">
      <c r="A18" s="1"/>
      <c r="B18" s="2"/>
      <c r="C18" s="6"/>
      <c r="D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1"/>
      <c r="Z18" s="1"/>
      <c r="AA18" s="1"/>
      <c r="AB18" s="1"/>
    </row>
    <row r="19" spans="1:28" ht="15.75" customHeight="1" x14ac:dyDescent="0.2">
      <c r="A19" s="1"/>
      <c r="B19" s="2"/>
      <c r="C19" s="6"/>
      <c r="D19" s="1"/>
      <c r="E19" s="1"/>
      <c r="F19" s="1"/>
      <c r="G19" s="1"/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8" ht="15.75" customHeight="1" x14ac:dyDescent="0.2">
      <c r="A20" s="1"/>
      <c r="B20" s="2"/>
      <c r="C20" s="6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8" ht="15.75" customHeight="1" x14ac:dyDescent="0.2">
      <c r="A21" s="1"/>
      <c r="B21" s="2"/>
      <c r="C21" s="6"/>
      <c r="D21" s="1"/>
      <c r="E21" s="1"/>
      <c r="F21" s="1"/>
      <c r="G21" s="1"/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8" ht="15.75" customHeight="1" x14ac:dyDescent="0.2">
      <c r="A22" s="1"/>
      <c r="B22" s="2"/>
      <c r="C22" s="6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8" ht="15.75" customHeight="1" x14ac:dyDescent="0.2">
      <c r="A23" s="1"/>
      <c r="B23" s="2"/>
      <c r="C23" s="6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8" ht="15.75" customHeight="1" x14ac:dyDescent="0.2">
      <c r="A24" s="1"/>
      <c r="B24" s="2"/>
      <c r="C24" s="6"/>
      <c r="D24" s="1"/>
      <c r="E24" s="1"/>
      <c r="F24" s="1"/>
      <c r="G24" s="1"/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8" ht="15.75" customHeight="1" x14ac:dyDescent="0.2">
      <c r="A25" s="1"/>
      <c r="B25" s="2"/>
      <c r="C25" s="6"/>
      <c r="D25" s="1"/>
      <c r="E25" s="1"/>
      <c r="F25" s="1"/>
      <c r="G25" s="1"/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8" ht="15.75" customHeight="1" x14ac:dyDescent="0.2">
      <c r="A26" s="1"/>
      <c r="B26" s="2"/>
      <c r="C26" s="6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8" ht="15.75" customHeight="1" x14ac:dyDescent="0.2">
      <c r="A27" s="1"/>
      <c r="B27" s="2"/>
      <c r="C27" s="6"/>
      <c r="D27" s="1"/>
      <c r="E27" s="1"/>
      <c r="F27" s="1"/>
      <c r="G27" s="1"/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8" ht="15.75" customHeight="1" x14ac:dyDescent="0.2">
      <c r="A28" s="1"/>
      <c r="B28" s="2"/>
      <c r="C28" s="6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8" ht="15.75" customHeight="1" x14ac:dyDescent="0.2">
      <c r="A29" s="1"/>
      <c r="B29" s="2"/>
      <c r="C29" s="6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8" ht="15.75" customHeight="1" x14ac:dyDescent="0.2">
      <c r="A30" s="1"/>
      <c r="B30" s="2"/>
      <c r="C30" s="6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8" ht="15.75" customHeight="1" x14ac:dyDescent="0.2">
      <c r="A31" s="1"/>
      <c r="B31" s="2"/>
      <c r="C31" s="6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8" ht="15.75" customHeight="1" x14ac:dyDescent="0.2">
      <c r="A32" s="1"/>
      <c r="B32" s="2"/>
      <c r="C32" s="6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2"/>
      <c r="C33" s="6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2"/>
      <c r="C34" s="6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2"/>
      <c r="C35" s="6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2"/>
      <c r="C36" s="6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2"/>
      <c r="C37" s="6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2"/>
      <c r="C38" s="6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2"/>
      <c r="C39" s="6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2"/>
      <c r="C40" s="6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2"/>
      <c r="C41" s="6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2"/>
      <c r="C42" s="6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2"/>
      <c r="C43" s="6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2"/>
      <c r="C44" s="6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2"/>
      <c r="C45" s="6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2"/>
      <c r="C46" s="6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2"/>
      <c r="C47" s="6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2"/>
      <c r="C48" s="6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2"/>
      <c r="C49" s="6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2"/>
      <c r="C50" s="6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2"/>
      <c r="C51" s="6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2"/>
      <c r="C52" s="6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2"/>
      <c r="C53" s="6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2"/>
      <c r="C54" s="6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2"/>
      <c r="C55" s="6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2"/>
      <c r="C56" s="6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2"/>
      <c r="C57" s="6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2"/>
      <c r="C58" s="6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2"/>
      <c r="C59" s="6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2"/>
      <c r="C60" s="6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2"/>
      <c r="C61" s="6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2"/>
      <c r="C62" s="6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2"/>
      <c r="C63" s="6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2"/>
      <c r="C64" s="6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2"/>
      <c r="C65" s="6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2"/>
      <c r="C66" s="6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2"/>
      <c r="C67" s="6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2"/>
      <c r="C68" s="6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2"/>
      <c r="C69" s="6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2"/>
      <c r="C70" s="6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2"/>
      <c r="C71" s="6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2"/>
      <c r="C72" s="6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2"/>
      <c r="C73" s="6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2"/>
      <c r="C74" s="6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2"/>
      <c r="C75" s="6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2"/>
      <c r="C76" s="6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2"/>
      <c r="C77" s="6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2"/>
      <c r="C78" s="6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2"/>
      <c r="C79" s="6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2"/>
      <c r="C80" s="6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2"/>
      <c r="C81" s="6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2"/>
      <c r="C82" s="6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2"/>
      <c r="C83" s="6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2"/>
      <c r="C84" s="6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2"/>
      <c r="C85" s="6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2"/>
      <c r="C86" s="6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2"/>
      <c r="C87" s="6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2"/>
      <c r="C88" s="6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2"/>
      <c r="C89" s="6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2"/>
      <c r="C90" s="6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2"/>
      <c r="C91" s="6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2"/>
      <c r="C92" s="6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2"/>
      <c r="C93" s="6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2"/>
      <c r="C94" s="6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2"/>
      <c r="C95" s="6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2"/>
      <c r="C96" s="6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2"/>
      <c r="C97" s="6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2"/>
      <c r="C98" s="6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2"/>
      <c r="C99" s="6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2"/>
      <c r="C100" s="6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2"/>
      <c r="C101" s="6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2"/>
      <c r="C102" s="6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2"/>
      <c r="C103" s="6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2"/>
      <c r="C104" s="6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2"/>
      <c r="C105" s="6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2"/>
      <c r="C106" s="6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2"/>
      <c r="C107" s="6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2"/>
      <c r="C108" s="6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2"/>
      <c r="C109" s="6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2"/>
      <c r="C110" s="6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2"/>
      <c r="C111" s="6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2"/>
      <c r="C112" s="6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2"/>
      <c r="C113" s="6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2"/>
      <c r="C114" s="6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2"/>
      <c r="C115" s="6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2"/>
      <c r="C116" s="6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2"/>
      <c r="C117" s="6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2"/>
      <c r="C118" s="6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2"/>
      <c r="C119" s="6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2"/>
      <c r="C120" s="6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2"/>
      <c r="C121" s="6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2"/>
      <c r="C122" s="6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2"/>
      <c r="C123" s="6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2"/>
      <c r="C124" s="6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2"/>
      <c r="C125" s="6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2"/>
      <c r="C126" s="6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2"/>
      <c r="C127" s="6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2"/>
      <c r="C128" s="6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2"/>
      <c r="C129" s="6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2"/>
      <c r="C130" s="6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2"/>
      <c r="C131" s="6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2"/>
      <c r="C132" s="6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2"/>
      <c r="C133" s="6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2"/>
      <c r="C134" s="6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2"/>
      <c r="C135" s="6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2"/>
      <c r="C136" s="6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2"/>
      <c r="C137" s="6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2"/>
      <c r="C138" s="6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2"/>
      <c r="C139" s="6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2"/>
      <c r="C140" s="6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2"/>
      <c r="C141" s="6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2"/>
      <c r="C142" s="6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2"/>
      <c r="C143" s="6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2"/>
      <c r="C144" s="6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2"/>
      <c r="C145" s="6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2"/>
      <c r="C146" s="6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2"/>
      <c r="C147" s="6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2"/>
      <c r="C148" s="6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2"/>
      <c r="C149" s="6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2"/>
      <c r="C150" s="6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2"/>
      <c r="C151" s="6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2"/>
      <c r="C152" s="6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2"/>
      <c r="C153" s="6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2"/>
      <c r="C154" s="6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2"/>
      <c r="C155" s="6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2"/>
      <c r="C156" s="6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2"/>
      <c r="C157" s="6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2"/>
      <c r="C158" s="6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2"/>
      <c r="C159" s="6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2"/>
      <c r="C160" s="6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2"/>
      <c r="C161" s="6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2"/>
      <c r="C162" s="6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2"/>
      <c r="C163" s="6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2"/>
      <c r="C164" s="6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2"/>
      <c r="C165" s="6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2"/>
      <c r="C166" s="6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2"/>
      <c r="C167" s="6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2"/>
      <c r="C168" s="6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2"/>
      <c r="C169" s="6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2"/>
      <c r="C170" s="6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2"/>
      <c r="C171" s="6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2"/>
      <c r="C172" s="6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2"/>
      <c r="C173" s="6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2"/>
      <c r="C174" s="6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2"/>
      <c r="C175" s="6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2"/>
      <c r="C176" s="6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2"/>
      <c r="C177" s="6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2"/>
      <c r="C178" s="6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2"/>
      <c r="C179" s="6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2"/>
      <c r="C180" s="6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2"/>
      <c r="C181" s="6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2"/>
      <c r="C182" s="6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2"/>
      <c r="C183" s="6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2"/>
      <c r="C184" s="6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2"/>
      <c r="C185" s="6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2"/>
      <c r="C186" s="6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2"/>
      <c r="C187" s="6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2"/>
      <c r="C188" s="6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2"/>
      <c r="C189" s="6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2"/>
      <c r="C190" s="6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2"/>
      <c r="C191" s="6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2"/>
      <c r="C192" s="6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2"/>
      <c r="C193" s="6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2"/>
      <c r="C194" s="6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2"/>
      <c r="C195" s="6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2"/>
      <c r="C196" s="6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2"/>
      <c r="C197" s="6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2"/>
      <c r="C198" s="6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2"/>
      <c r="C199" s="6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2"/>
      <c r="C200" s="6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2"/>
      <c r="C201" s="6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2"/>
      <c r="C202" s="6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2"/>
      <c r="C203" s="6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2"/>
      <c r="C204" s="6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2"/>
      <c r="C205" s="6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2"/>
      <c r="C206" s="6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2"/>
      <c r="C207" s="6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2"/>
      <c r="C208" s="6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2"/>
      <c r="C209" s="6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2"/>
      <c r="C210" s="6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2"/>
      <c r="C211" s="6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2"/>
      <c r="C212" s="6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2"/>
      <c r="C213" s="6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2"/>
      <c r="C214" s="6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2"/>
      <c r="C215" s="6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2"/>
      <c r="C216" s="6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2"/>
      <c r="C217" s="6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2"/>
      <c r="C218" s="6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2"/>
      <c r="C219" s="6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2"/>
      <c r="C220" s="6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sheetProtection sheet="1" objects="1" scenarios="1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Físicas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José Pedregal Tercero</dc:creator>
  <cp:lastModifiedBy>Diego José Pedregal Tercero</cp:lastModifiedBy>
  <dcterms:created xsi:type="dcterms:W3CDTF">2024-04-18T09:46:26Z</dcterms:created>
  <dcterms:modified xsi:type="dcterms:W3CDTF">2025-03-30T14:29:43Z</dcterms:modified>
</cp:coreProperties>
</file>