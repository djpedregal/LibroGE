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https://pruebasaluuclm-my.sharepoint.com/personal/diego_pedregal_uclm_es/Documents/cursoCorriente/docencia/GE/libroQuarto/"/>
    </mc:Choice>
  </mc:AlternateContent>
  <xr:revisionPtr revIDLastSave="113" documentId="13_ncr:1_{FAFC96D7-72FB-B841-B395-F5F9CD63B021}" xr6:coauthVersionLast="47" xr6:coauthVersionMax="47" xr10:uidLastSave="{75B1886E-941F-49D5-B9AA-FDAB7967394B}"/>
  <bookViews>
    <workbookView xWindow="45600" yWindow="2040" windowWidth="9435" windowHeight="9015" xr2:uid="{00000000-000D-0000-FFFF-FFFF00000000}"/>
  </bookViews>
  <sheets>
    <sheet name="Físic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gBlkCD/SY0XxViK2AB1Q3JkUQVbg=="/>
    </ext>
  </extLst>
</workbook>
</file>

<file path=xl/calcChain.xml><?xml version="1.0" encoding="utf-8"?>
<calcChain xmlns="http://schemas.openxmlformats.org/spreadsheetml/2006/main">
  <c r="Z8" i="1" l="1"/>
  <c r="AA8" i="1" s="1"/>
  <c r="Z4" i="1"/>
  <c r="AA4" i="1" s="1"/>
  <c r="Z5" i="1"/>
  <c r="AA5" i="1" s="1"/>
  <c r="Z6" i="1"/>
  <c r="AA6" i="1" s="1"/>
  <c r="Z7" i="1"/>
  <c r="AA7" i="1" s="1"/>
  <c r="Z3" i="1"/>
  <c r="AA3" i="1" s="1"/>
  <c r="C4" i="1"/>
  <c r="C6" i="1" s="1"/>
  <c r="V13" i="1" s="1"/>
  <c r="W13" i="1" s="1"/>
  <c r="V9" i="1" l="1"/>
  <c r="X8" i="1" s="1"/>
  <c r="Y8" i="1" s="1"/>
  <c r="AA9" i="1"/>
  <c r="C5" i="1"/>
  <c r="X7" i="1" l="1"/>
  <c r="Y7" i="1" s="1"/>
  <c r="X3" i="1"/>
  <c r="Y3" i="1" s="1"/>
  <c r="X6" i="1"/>
  <c r="Y6" i="1" s="1"/>
  <c r="X4" i="1"/>
  <c r="Y4" i="1" s="1"/>
  <c r="X5" i="1"/>
  <c r="Y5" i="1" s="1"/>
  <c r="Y9" i="1" l="1"/>
  <c r="C7" i="1" s="1"/>
  <c r="C8" i="1" s="1"/>
  <c r="C9" i="1" l="1"/>
  <c r="C12" i="1" s="1"/>
  <c r="D12" i="1" s="1"/>
  <c r="C11" i="1" l="1"/>
  <c r="D11" i="1" s="1"/>
</calcChain>
</file>

<file path=xl/sharedStrings.xml><?xml version="1.0" encoding="utf-8"?>
<sst xmlns="http://schemas.openxmlformats.org/spreadsheetml/2006/main" count="18" uniqueCount="18">
  <si>
    <t>Tipos</t>
  </si>
  <si>
    <t>Sueldo bruto:</t>
  </si>
  <si>
    <t>Desde</t>
  </si>
  <si>
    <t>Hasta</t>
  </si>
  <si>
    <t>Cotización SS empresa:</t>
  </si>
  <si>
    <t>Cotización SS trabajador:</t>
  </si>
  <si>
    <t>IRPF:</t>
  </si>
  <si>
    <t>Consumo:</t>
  </si>
  <si>
    <t>IVA y especiales:</t>
  </si>
  <si>
    <t>Base imponible aproximada:</t>
  </si>
  <si>
    <t>Tabla IRPF 2024</t>
  </si>
  <si>
    <t>Reducción general</t>
  </si>
  <si>
    <t>Mínimo personal</t>
  </si>
  <si>
    <t>Base imponible bruta</t>
  </si>
  <si>
    <t>Coste laboral:</t>
  </si>
  <si>
    <t>Otros impuestos:</t>
  </si>
  <si>
    <t>IMPOSICIÓN (COSTE L.):</t>
  </si>
  <si>
    <t>IMPOSICIÓN (SALARIO B.):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</si>
</sst>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#,##0\ &quot;€&quot;;[Red]\-#,##0\ &quot;€&quot;"/>
    <numFmt numFmtId="164" formatCode="#,##0.00\ &quot;€&quot;"/>
    <numFmt numFmtId="165" formatCode="0.0%"/>
  </numFmts>
  <fonts count="5">
    <font>
      <sz val="12"/>
      <color theme="1"/>
      <name val="Calibri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10"/>
      <color rgb="FF000000"/>
      <name val="Helvetica Neue"/>
      <family val="2"/>
    </font>
    <font>
      <b/>
      <sz val="18"/>
      <color theme="1"/>
      <name val="Calibri"/>
      <family val="2"/>
    </font>
  </fonts>
  <fills count="6">
    <fill>
      <patternFill patternType="none"/>
    </fill>
    <fill>
      <patternFill patternType="gray125"/>
    </fill>
    <fill>
      <gradientFill>
        <stop position="0">
          <color theme="0"/>
        </stop>
        <stop position="1">
          <color rgb="FFC00000"/>
        </stop>
      </gradientFill>
    </fill>
    <fill>
      <gradientFill degree="180">
        <stop position="0">
          <color theme="0"/>
        </stop>
        <stop position="1">
          <color rgb="FFC00000"/>
        </stop>
      </gradientFill>
    </fill>
    <fill>
      <gradientFill degree="180">
        <stop position="0">
          <color theme="0"/>
        </stop>
        <stop position="1">
          <color rgb="FF92D050"/>
        </stop>
      </gradientFill>
    </fill>
    <fill>
      <gradientFill>
        <stop position="0">
          <color theme="0"/>
        </stop>
        <stop position="1">
          <color theme="3" tint="0.49803155613879818"/>
        </stop>
      </gradientFill>
    </fill>
  </fills>
  <borders count="6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6" fontId="3" fillId="0" borderId="0" xfId="0" applyNumberFormat="1" applyFont="1"/>
    <xf numFmtId="9" fontId="3" fillId="0" borderId="0" xfId="0" applyNumberFormat="1" applyFont="1"/>
    <xf numFmtId="165" fontId="1" fillId="0" borderId="0" xfId="0" applyNumberFormat="1" applyFont="1"/>
    <xf numFmtId="0" fontId="1" fillId="3" borderId="2" xfId="0" applyFont="1" applyFill="1" applyBorder="1" applyAlignment="1">
      <alignment horizontal="right"/>
    </xf>
    <xf numFmtId="0" fontId="2" fillId="3" borderId="2" xfId="0" applyFont="1" applyFill="1" applyBorder="1" applyAlignment="1">
      <alignment horizontal="right"/>
    </xf>
    <xf numFmtId="0" fontId="1" fillId="3" borderId="1" xfId="0" applyFont="1" applyFill="1" applyBorder="1"/>
    <xf numFmtId="165" fontId="2" fillId="2" borderId="3" xfId="0" applyNumberFormat="1" applyFont="1" applyFill="1" applyBorder="1" applyAlignment="1">
      <alignment horizontal="center"/>
    </xf>
    <xf numFmtId="165" fontId="1" fillId="4" borderId="4" xfId="0" applyNumberFormat="1" applyFont="1" applyFill="1" applyBorder="1"/>
    <xf numFmtId="165" fontId="1" fillId="5" borderId="4" xfId="0" applyNumberFormat="1" applyFont="1" applyFill="1" applyBorder="1" applyProtection="1">
      <protection locked="0"/>
    </xf>
    <xf numFmtId="165" fontId="1" fillId="4" borderId="4" xfId="0" applyNumberFormat="1" applyFont="1" applyFill="1" applyBorder="1" applyProtection="1">
      <protection locked="0"/>
    </xf>
    <xf numFmtId="165" fontId="4" fillId="2" borderId="3" xfId="0" applyNumberFormat="1" applyFont="1" applyFill="1" applyBorder="1"/>
    <xf numFmtId="164" fontId="1" fillId="2" borderId="5" xfId="0" applyNumberFormat="1" applyFont="1" applyFill="1" applyBorder="1"/>
    <xf numFmtId="164" fontId="1" fillId="5" borderId="0" xfId="0" applyNumberFormat="1" applyFont="1" applyFill="1" applyProtection="1">
      <protection locked="0"/>
    </xf>
    <xf numFmtId="164" fontId="2" fillId="4" borderId="0" xfId="0" applyNumberFormat="1" applyFont="1" applyFill="1"/>
    <xf numFmtId="164" fontId="1" fillId="4" borderId="0" xfId="0" applyNumberFormat="1" applyFont="1" applyFill="1"/>
    <xf numFmtId="164" fontId="4" fillId="2" borderId="5" xfId="0" applyNumberFormat="1" applyFont="1" applyFill="1" applyBorder="1"/>
    <xf numFmtId="0" fontId="4" fillId="3" borderId="1" xfId="0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showGridLines="0" tabSelected="1" workbookViewId="0">
      <selection activeCell="C3" sqref="C3"/>
    </sheetView>
  </sheetViews>
  <sheetFormatPr baseColWidth="10" defaultColWidth="11.125" defaultRowHeight="15" customHeight="1"/>
  <cols>
    <col min="1" max="1" width="4.375" customWidth="1"/>
    <col min="2" max="2" width="33.5" customWidth="1"/>
    <col min="3" max="3" width="19.125" customWidth="1"/>
    <col min="4" max="5" width="11" customWidth="1"/>
    <col min="6" max="6" width="24.5" customWidth="1"/>
    <col min="7" max="8" width="11" customWidth="1"/>
    <col min="9" max="9" width="13.375" customWidth="1"/>
    <col min="10" max="10" width="12.625" customWidth="1"/>
    <col min="11" max="11" width="12.125" customWidth="1"/>
    <col min="12" max="25" width="10.5" customWidth="1"/>
  </cols>
  <sheetData>
    <row r="1" spans="1:28" ht="15.75" customHeight="1" thickBot="1">
      <c r="D1" s="1"/>
      <c r="N1" s="1"/>
      <c r="O1" s="1"/>
      <c r="P1" s="1"/>
      <c r="Q1" s="1"/>
      <c r="R1" s="1"/>
      <c r="S1" s="1"/>
      <c r="T1" s="1"/>
      <c r="U1" s="1" t="s">
        <v>10</v>
      </c>
      <c r="V1" s="1"/>
      <c r="W1" s="1"/>
      <c r="X1" s="2"/>
      <c r="Y1" s="1"/>
      <c r="Z1" s="1"/>
      <c r="AA1" s="1"/>
      <c r="AB1" s="1"/>
    </row>
    <row r="2" spans="1:28" ht="15.75" customHeight="1" thickTop="1" thickBot="1">
      <c r="B2" s="9"/>
      <c r="C2" s="15"/>
      <c r="D2" s="10" t="s">
        <v>0</v>
      </c>
      <c r="N2" s="1"/>
      <c r="O2" s="1"/>
      <c r="P2" s="1"/>
      <c r="Q2" s="1"/>
      <c r="R2" s="1"/>
      <c r="S2" s="1"/>
      <c r="T2" s="1"/>
      <c r="U2" s="3" t="s">
        <v>2</v>
      </c>
      <c r="V2" s="3" t="s">
        <v>3</v>
      </c>
      <c r="W2" s="3"/>
      <c r="X2" s="2"/>
      <c r="Y2" s="1"/>
      <c r="Z2" s="1"/>
      <c r="AA2" s="1"/>
      <c r="AB2" s="1"/>
    </row>
    <row r="3" spans="1:28" ht="15.75" customHeight="1" thickTop="1">
      <c r="B3" s="7" t="s">
        <v>1</v>
      </c>
      <c r="C3" s="16"/>
      <c r="D3" s="11"/>
      <c r="N3" s="1"/>
      <c r="O3" s="1"/>
      <c r="P3" s="1"/>
      <c r="Q3" s="1"/>
      <c r="R3" s="1"/>
      <c r="S3" s="1"/>
      <c r="T3" s="1"/>
      <c r="U3" s="4">
        <v>0</v>
      </c>
      <c r="V3" s="4">
        <v>12450</v>
      </c>
      <c r="W3" s="5">
        <v>0.19</v>
      </c>
      <c r="X3" s="2">
        <f t="shared" ref="X3:X8" si="0">IF(V$9&gt;V3,V3-U3,MAX(V$9-U3,0))</f>
        <v>0</v>
      </c>
      <c r="Y3" s="2">
        <f t="shared" ref="Y3:Y8" si="1">X3*W3</f>
        <v>0</v>
      </c>
      <c r="Z3" s="2">
        <f t="shared" ref="Z3:Z8" si="2">IF(V$12&gt;V3,V3-U3,MAX(V$12-U3,0))</f>
        <v>5500</v>
      </c>
      <c r="AA3" s="2">
        <f>Z3*W3</f>
        <v>1045</v>
      </c>
      <c r="AB3" s="1"/>
    </row>
    <row r="4" spans="1:28" ht="15.75" customHeight="1">
      <c r="B4" s="8" t="s">
        <v>14</v>
      </c>
      <c r="C4" s="17">
        <f>C3/(1-D5)</f>
        <v>0</v>
      </c>
      <c r="D4" s="11"/>
      <c r="N4" s="1"/>
      <c r="O4" s="1"/>
      <c r="P4" s="1"/>
      <c r="Q4" s="1"/>
      <c r="R4" s="1"/>
      <c r="S4" s="1"/>
      <c r="T4" s="1"/>
      <c r="U4" s="4">
        <v>12450</v>
      </c>
      <c r="V4" s="4">
        <v>20199</v>
      </c>
      <c r="W4" s="5">
        <v>0.24</v>
      </c>
      <c r="X4" s="2">
        <f t="shared" si="0"/>
        <v>0</v>
      </c>
      <c r="Y4" s="2">
        <f t="shared" si="1"/>
        <v>0</v>
      </c>
      <c r="Z4" s="2">
        <f t="shared" si="2"/>
        <v>0</v>
      </c>
      <c r="AA4" s="2">
        <f t="shared" ref="AA4:AA8" si="3">Z4*W4</f>
        <v>0</v>
      </c>
      <c r="AB4" s="1"/>
    </row>
    <row r="5" spans="1:28" ht="15.75" customHeight="1">
      <c r="B5" s="7" t="s">
        <v>4</v>
      </c>
      <c r="C5" s="18">
        <f>C4-C3</f>
        <v>0</v>
      </c>
      <c r="D5" s="12">
        <v>0.23599999999999999</v>
      </c>
      <c r="N5" s="1"/>
      <c r="O5" s="1"/>
      <c r="P5" s="1"/>
      <c r="Q5" s="1"/>
      <c r="R5" s="1"/>
      <c r="S5" s="1"/>
      <c r="T5" s="1"/>
      <c r="U5" s="4">
        <v>20200</v>
      </c>
      <c r="V5" s="4">
        <v>35199</v>
      </c>
      <c r="W5" s="5">
        <v>0.3</v>
      </c>
      <c r="X5" s="2">
        <f t="shared" si="0"/>
        <v>0</v>
      </c>
      <c r="Y5" s="2">
        <f t="shared" si="1"/>
        <v>0</v>
      </c>
      <c r="Z5" s="2">
        <f t="shared" si="2"/>
        <v>0</v>
      </c>
      <c r="AA5" s="2">
        <f t="shared" si="3"/>
        <v>0</v>
      </c>
      <c r="AB5" s="1"/>
    </row>
    <row r="6" spans="1:28" ht="15.75" customHeight="1">
      <c r="B6" s="7" t="s">
        <v>5</v>
      </c>
      <c r="C6" s="18">
        <f>D6*C4</f>
        <v>0</v>
      </c>
      <c r="D6" s="12">
        <v>4.7E-2</v>
      </c>
      <c r="N6" s="1"/>
      <c r="O6" s="1"/>
      <c r="P6" s="1"/>
      <c r="Q6" s="1"/>
      <c r="R6" s="1"/>
      <c r="S6" s="1"/>
      <c r="T6" s="1"/>
      <c r="U6" s="4">
        <v>35200</v>
      </c>
      <c r="V6" s="4">
        <v>59999</v>
      </c>
      <c r="W6" s="5">
        <v>0.37</v>
      </c>
      <c r="X6" s="2">
        <f t="shared" si="0"/>
        <v>0</v>
      </c>
      <c r="Y6" s="2">
        <f t="shared" si="1"/>
        <v>0</v>
      </c>
      <c r="Z6" s="2">
        <f t="shared" si="2"/>
        <v>0</v>
      </c>
      <c r="AA6" s="2">
        <f t="shared" si="3"/>
        <v>0</v>
      </c>
      <c r="AB6" s="1"/>
    </row>
    <row r="7" spans="1:28" ht="15.75" customHeight="1">
      <c r="B7" s="7" t="s">
        <v>6</v>
      </c>
      <c r="C7" s="18">
        <f>Y9</f>
        <v>0</v>
      </c>
      <c r="D7" s="13"/>
      <c r="N7" s="1"/>
      <c r="O7" s="1"/>
      <c r="P7" s="1"/>
      <c r="Q7" s="1"/>
      <c r="R7" s="1"/>
      <c r="S7" s="1"/>
      <c r="T7" s="1"/>
      <c r="U7" s="4">
        <v>60000</v>
      </c>
      <c r="V7" s="4">
        <v>299999</v>
      </c>
      <c r="W7" s="5">
        <v>0.45</v>
      </c>
      <c r="X7" s="2">
        <f t="shared" si="0"/>
        <v>0</v>
      </c>
      <c r="Y7" s="2">
        <f t="shared" si="1"/>
        <v>0</v>
      </c>
      <c r="Z7" s="2">
        <f t="shared" si="2"/>
        <v>0</v>
      </c>
      <c r="AA7" s="2">
        <f t="shared" si="3"/>
        <v>0</v>
      </c>
      <c r="AB7" s="1"/>
    </row>
    <row r="8" spans="1:28" ht="15.75" customHeight="1">
      <c r="B8" s="7" t="s">
        <v>7</v>
      </c>
      <c r="C8" s="18">
        <f>D8*(C3-C6-C7)</f>
        <v>0</v>
      </c>
      <c r="D8" s="12">
        <v>0.6</v>
      </c>
      <c r="N8" s="1"/>
      <c r="O8" s="1"/>
      <c r="P8" s="1"/>
      <c r="Q8" s="1"/>
      <c r="R8" s="1"/>
      <c r="S8" s="1"/>
      <c r="T8" s="1"/>
      <c r="U8" s="4">
        <v>300000</v>
      </c>
      <c r="V8" s="4">
        <v>100000000</v>
      </c>
      <c r="W8" s="5">
        <v>0.49</v>
      </c>
      <c r="X8" s="2">
        <f t="shared" si="0"/>
        <v>0</v>
      </c>
      <c r="Y8" s="2">
        <f t="shared" si="1"/>
        <v>0</v>
      </c>
      <c r="Z8" s="2">
        <f t="shared" si="2"/>
        <v>0</v>
      </c>
      <c r="AA8" s="2">
        <f t="shared" si="3"/>
        <v>0</v>
      </c>
      <c r="AB8" s="1"/>
    </row>
    <row r="9" spans="1:28" ht="15.75" customHeight="1">
      <c r="B9" s="7" t="s">
        <v>8</v>
      </c>
      <c r="C9" s="18">
        <f>D9*C8</f>
        <v>0</v>
      </c>
      <c r="D9" s="12">
        <v>0.14000000000000001</v>
      </c>
      <c r="N9" s="1"/>
      <c r="O9" s="1"/>
      <c r="P9" s="1"/>
      <c r="Q9" s="1"/>
      <c r="R9" s="1"/>
      <c r="S9" s="1"/>
      <c r="T9" s="1"/>
      <c r="U9" s="1" t="s">
        <v>9</v>
      </c>
      <c r="V9" s="2">
        <f>V13-W13</f>
        <v>-8498</v>
      </c>
      <c r="W9" s="1"/>
      <c r="X9" s="2"/>
      <c r="Y9" s="2">
        <f>MAX(SUM(Y3:Y8)-AA9, 0)</f>
        <v>0</v>
      </c>
      <c r="Z9" s="2"/>
      <c r="AA9" s="2">
        <f>SUM(AA3:AA8)</f>
        <v>1045</v>
      </c>
      <c r="AB9" s="1"/>
    </row>
    <row r="10" spans="1:28" ht="21.75" customHeight="1" thickBot="1">
      <c r="B10" s="7" t="s">
        <v>15</v>
      </c>
      <c r="C10" s="16"/>
      <c r="D10" s="11"/>
      <c r="N10" s="1"/>
      <c r="O10" s="1"/>
      <c r="P10" s="1"/>
      <c r="Q10" s="1"/>
      <c r="R10" s="1"/>
      <c r="S10" s="1"/>
      <c r="T10" s="1"/>
      <c r="U10" s="1"/>
      <c r="V10" s="1"/>
      <c r="W10" s="1"/>
      <c r="X10" s="2"/>
      <c r="Y10" s="1"/>
      <c r="Z10" s="1"/>
      <c r="AA10" s="1"/>
      <c r="AB10" s="1"/>
    </row>
    <row r="11" spans="1:28" ht="26.25" customHeight="1" thickTop="1" thickBot="1">
      <c r="B11" s="20" t="s">
        <v>16</v>
      </c>
      <c r="C11" s="19">
        <f>C5+C6+C7+C9+C10</f>
        <v>0</v>
      </c>
      <c r="D11" s="14" t="str">
        <f>IF(C3="","",C11/C4)</f>
        <v/>
      </c>
      <c r="N11" s="1"/>
      <c r="O11" s="1"/>
      <c r="P11" s="1"/>
      <c r="Q11" s="1"/>
      <c r="R11" s="1"/>
      <c r="S11" s="1"/>
      <c r="T11" s="1"/>
      <c r="U11" s="1" t="s">
        <v>11</v>
      </c>
      <c r="V11" s="1">
        <v>2000</v>
      </c>
      <c r="W11" s="1"/>
      <c r="X11" s="2"/>
      <c r="Y11" s="1"/>
      <c r="Z11" s="1"/>
      <c r="AA11" s="1"/>
      <c r="AB11" s="1"/>
    </row>
    <row r="12" spans="1:28" ht="24" customHeight="1" thickTop="1" thickBot="1">
      <c r="A12" s="1"/>
      <c r="B12" s="20" t="s">
        <v>17</v>
      </c>
      <c r="C12" s="19">
        <f>C6+C7+C9+C10</f>
        <v>0</v>
      </c>
      <c r="D12" s="14" t="str">
        <f>IF(C3="","",C12/C3)</f>
        <v/>
      </c>
      <c r="N12" s="1"/>
      <c r="O12" s="1"/>
      <c r="P12" s="1"/>
      <c r="Q12" s="1"/>
      <c r="R12" s="1"/>
      <c r="S12" s="1"/>
      <c r="T12" s="1"/>
      <c r="U12" s="1" t="s">
        <v>12</v>
      </c>
      <c r="V12" s="1">
        <v>5500</v>
      </c>
      <c r="W12" s="1"/>
      <c r="X12" s="2"/>
      <c r="Y12" s="1"/>
      <c r="Z12" s="1"/>
      <c r="AA12" s="1"/>
      <c r="AB12" s="1"/>
    </row>
    <row r="13" spans="1:28" ht="15.75" customHeight="1" thickTop="1">
      <c r="A13" s="1"/>
      <c r="B13" s="2"/>
      <c r="C13" s="6"/>
      <c r="D13" s="1"/>
      <c r="N13" s="1"/>
      <c r="O13" s="1"/>
      <c r="P13" s="1"/>
      <c r="Q13" s="1"/>
      <c r="R13" s="1"/>
      <c r="S13" s="1"/>
      <c r="T13" s="1"/>
      <c r="U13" s="1" t="s">
        <v>13</v>
      </c>
      <c r="V13" s="2">
        <f>C3-C6-V11</f>
        <v>-2000</v>
      </c>
      <c r="W13" s="1">
        <f>IF(V13+V11&lt;14047.5,6498,IF(V13+V11&lt;19747.5,6498-1.14*(V13-14047.5+V11),0))</f>
        <v>6498</v>
      </c>
      <c r="X13" s="2"/>
      <c r="Y13" s="1"/>
      <c r="Z13" s="1"/>
      <c r="AA13" s="1"/>
      <c r="AB13" s="1"/>
    </row>
    <row r="14" spans="1:28" ht="15.75" customHeight="1">
      <c r="A14" s="1"/>
      <c r="B14" s="2"/>
      <c r="C14" s="6"/>
      <c r="D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2"/>
      <c r="Y14" s="1"/>
      <c r="Z14" s="1"/>
      <c r="AA14" s="1"/>
      <c r="AB14" s="1"/>
    </row>
    <row r="15" spans="1:28" ht="15.75" customHeight="1">
      <c r="A15" s="1"/>
      <c r="B15" s="2"/>
      <c r="C15" s="6"/>
      <c r="D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2"/>
      <c r="Y15" s="1"/>
      <c r="Z15" s="1"/>
      <c r="AA15" s="1"/>
      <c r="AB15" s="1"/>
    </row>
    <row r="16" spans="1:28" ht="15.75" customHeight="1">
      <c r="A16" s="1"/>
      <c r="B16" s="2"/>
      <c r="C16" s="6"/>
      <c r="D16" s="1"/>
      <c r="N16" s="1"/>
      <c r="O16" s="1"/>
      <c r="P16" s="1"/>
      <c r="Q16" s="1"/>
      <c r="R16" s="1"/>
      <c r="S16" s="1"/>
      <c r="T16" s="1"/>
      <c r="U16" s="2"/>
      <c r="V16" s="2"/>
      <c r="W16" s="1"/>
      <c r="X16" s="2"/>
      <c r="Y16" s="1"/>
      <c r="Z16" s="1"/>
      <c r="AA16" s="1"/>
      <c r="AB16" s="1"/>
    </row>
    <row r="17" spans="1:28" ht="15.75" customHeight="1">
      <c r="A17" s="1"/>
      <c r="B17" s="2"/>
      <c r="C17" s="6"/>
      <c r="D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2"/>
      <c r="Y17" s="1"/>
      <c r="Z17" s="1"/>
      <c r="AA17" s="1"/>
      <c r="AB17" s="1"/>
    </row>
    <row r="18" spans="1:28" ht="15.75" customHeight="1">
      <c r="A18" s="1"/>
      <c r="B18" s="2"/>
      <c r="C18" s="6"/>
      <c r="D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2"/>
      <c r="Y18" s="1"/>
      <c r="Z18" s="1"/>
      <c r="AA18" s="1"/>
      <c r="AB18" s="1"/>
    </row>
    <row r="19" spans="1:28" ht="15.75" customHeight="1">
      <c r="A19" s="1"/>
      <c r="B19" s="2"/>
      <c r="C19" s="6"/>
      <c r="D19" s="1"/>
      <c r="E19" s="1"/>
      <c r="F19" s="1"/>
      <c r="G19" s="1"/>
      <c r="H19" s="1"/>
      <c r="I19" s="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8" ht="15.75" customHeight="1">
      <c r="A20" s="1"/>
      <c r="B20" s="2"/>
      <c r="C20" s="6"/>
      <c r="D20" s="1"/>
      <c r="E20" s="1"/>
      <c r="F20" s="1"/>
      <c r="G20" s="1"/>
      <c r="H20" s="1"/>
      <c r="I20" s="2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8" ht="15.75" customHeight="1">
      <c r="A21" s="1"/>
      <c r="B21" s="2"/>
      <c r="C21" s="6"/>
      <c r="D21" s="1"/>
      <c r="E21" s="1"/>
      <c r="F21" s="1"/>
      <c r="G21" s="1"/>
      <c r="H21" s="1"/>
      <c r="I21" s="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8" ht="15.75" customHeight="1">
      <c r="A22" s="1"/>
      <c r="B22" s="2"/>
      <c r="C22" s="6"/>
      <c r="D22" s="1"/>
      <c r="E22" s="1"/>
      <c r="F22" s="1"/>
      <c r="G22" s="1"/>
      <c r="H22" s="1"/>
      <c r="I22" s="2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8" ht="15.75" customHeight="1">
      <c r="A23" s="1"/>
      <c r="B23" s="2"/>
      <c r="C23" s="6"/>
      <c r="D23" s="1"/>
      <c r="E23" s="1"/>
      <c r="F23" s="1"/>
      <c r="G23" s="1"/>
      <c r="H23" s="1"/>
      <c r="I23" s="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8" ht="15.75" customHeight="1">
      <c r="A24" s="1"/>
      <c r="B24" s="2"/>
      <c r="C24" s="6"/>
      <c r="D24" s="1"/>
      <c r="E24" s="1"/>
      <c r="F24" s="1"/>
      <c r="G24" s="1"/>
      <c r="H24" s="1"/>
      <c r="I24" s="2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8" ht="15.75" customHeight="1">
      <c r="A25" s="1"/>
      <c r="B25" s="2"/>
      <c r="C25" s="6"/>
      <c r="D25" s="1"/>
      <c r="E25" s="1"/>
      <c r="F25" s="1"/>
      <c r="G25" s="1"/>
      <c r="H25" s="1"/>
      <c r="I25" s="2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8" ht="15.75" customHeight="1">
      <c r="A26" s="1"/>
      <c r="B26" s="2"/>
      <c r="C26" s="6"/>
      <c r="D26" s="1"/>
      <c r="E26" s="1"/>
      <c r="F26" s="1"/>
      <c r="G26" s="1"/>
      <c r="H26" s="1"/>
      <c r="I26" s="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8" ht="15.75" customHeight="1">
      <c r="A27" s="1"/>
      <c r="B27" s="2"/>
      <c r="C27" s="6"/>
      <c r="D27" s="1"/>
      <c r="E27" s="1"/>
      <c r="F27" s="1"/>
      <c r="G27" s="1"/>
      <c r="H27" s="1"/>
      <c r="I27" s="2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8" ht="15.75" customHeight="1">
      <c r="A28" s="1"/>
      <c r="B28" s="2"/>
      <c r="C28" s="6"/>
      <c r="D28" s="1"/>
      <c r="E28" s="1"/>
      <c r="F28" s="1"/>
      <c r="G28" s="1"/>
      <c r="H28" s="1"/>
      <c r="I28" s="2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8" ht="15.75" customHeight="1">
      <c r="A29" s="1"/>
      <c r="B29" s="2"/>
      <c r="C29" s="6"/>
      <c r="D29" s="1"/>
      <c r="E29" s="1"/>
      <c r="F29" s="1"/>
      <c r="G29" s="1"/>
      <c r="H29" s="1"/>
      <c r="I29" s="2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8" ht="15.75" customHeight="1">
      <c r="A30" s="1"/>
      <c r="B30" s="2"/>
      <c r="C30" s="6"/>
      <c r="D30" s="1"/>
      <c r="E30" s="1"/>
      <c r="F30" s="1"/>
      <c r="G30" s="1"/>
      <c r="H30" s="1"/>
      <c r="I30" s="2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8" ht="15.75" customHeight="1">
      <c r="A31" s="1"/>
      <c r="B31" s="2"/>
      <c r="C31" s="6"/>
      <c r="D31" s="1"/>
      <c r="E31" s="1"/>
      <c r="F31" s="1"/>
      <c r="G31" s="1"/>
      <c r="H31" s="1"/>
      <c r="I31" s="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8" ht="15.75" customHeight="1">
      <c r="A32" s="1"/>
      <c r="B32" s="2"/>
      <c r="C32" s="6"/>
      <c r="D32" s="1"/>
      <c r="E32" s="1"/>
      <c r="F32" s="1"/>
      <c r="G32" s="1"/>
      <c r="H32" s="1"/>
      <c r="I32" s="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2"/>
      <c r="C33" s="6"/>
      <c r="D33" s="1"/>
      <c r="E33" s="1"/>
      <c r="F33" s="1"/>
      <c r="G33" s="1"/>
      <c r="H33" s="1"/>
      <c r="I33" s="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2"/>
      <c r="C34" s="6"/>
      <c r="D34" s="1"/>
      <c r="E34" s="1"/>
      <c r="F34" s="1"/>
      <c r="G34" s="1"/>
      <c r="H34" s="1"/>
      <c r="I34" s="2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2"/>
      <c r="C35" s="6"/>
      <c r="D35" s="1"/>
      <c r="E35" s="1"/>
      <c r="F35" s="1"/>
      <c r="G35" s="1"/>
      <c r="H35" s="1"/>
      <c r="I35" s="2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1"/>
      <c r="B36" s="2"/>
      <c r="C36" s="6"/>
      <c r="D36" s="1"/>
      <c r="E36" s="1"/>
      <c r="F36" s="1"/>
      <c r="G36" s="1"/>
      <c r="H36" s="1"/>
      <c r="I36" s="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2"/>
      <c r="C37" s="6"/>
      <c r="D37" s="1"/>
      <c r="E37" s="1"/>
      <c r="F37" s="1"/>
      <c r="G37" s="1"/>
      <c r="H37" s="1"/>
      <c r="I37" s="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2"/>
      <c r="C38" s="6"/>
      <c r="D38" s="1"/>
      <c r="E38" s="1"/>
      <c r="F38" s="1"/>
      <c r="G38" s="1"/>
      <c r="H38" s="1"/>
      <c r="I38" s="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2"/>
      <c r="C39" s="6"/>
      <c r="D39" s="1"/>
      <c r="E39" s="1"/>
      <c r="F39" s="1"/>
      <c r="G39" s="1"/>
      <c r="H39" s="1"/>
      <c r="I39" s="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2"/>
      <c r="C40" s="6"/>
      <c r="D40" s="1"/>
      <c r="E40" s="1"/>
      <c r="F40" s="1"/>
      <c r="G40" s="1"/>
      <c r="H40" s="1"/>
      <c r="I40" s="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2"/>
      <c r="C41" s="6"/>
      <c r="D41" s="1"/>
      <c r="E41" s="1"/>
      <c r="F41" s="1"/>
      <c r="G41" s="1"/>
      <c r="H41" s="1"/>
      <c r="I41" s="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2"/>
      <c r="C42" s="6"/>
      <c r="D42" s="1"/>
      <c r="E42" s="1"/>
      <c r="F42" s="1"/>
      <c r="G42" s="1"/>
      <c r="H42" s="1"/>
      <c r="I42" s="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1"/>
      <c r="B43" s="2"/>
      <c r="C43" s="6"/>
      <c r="D43" s="1"/>
      <c r="E43" s="1"/>
      <c r="F43" s="1"/>
      <c r="G43" s="1"/>
      <c r="H43" s="1"/>
      <c r="I43" s="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2"/>
      <c r="C44" s="6"/>
      <c r="D44" s="1"/>
      <c r="E44" s="1"/>
      <c r="F44" s="1"/>
      <c r="G44" s="1"/>
      <c r="H44" s="1"/>
      <c r="I44" s="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2"/>
      <c r="C45" s="6"/>
      <c r="D45" s="1"/>
      <c r="E45" s="1"/>
      <c r="F45" s="1"/>
      <c r="G45" s="1"/>
      <c r="H45" s="1"/>
      <c r="I45" s="2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2"/>
      <c r="C46" s="6"/>
      <c r="D46" s="1"/>
      <c r="E46" s="1"/>
      <c r="F46" s="1"/>
      <c r="G46" s="1"/>
      <c r="H46" s="1"/>
      <c r="I46" s="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2"/>
      <c r="C47" s="6"/>
      <c r="D47" s="1"/>
      <c r="E47" s="1"/>
      <c r="F47" s="1"/>
      <c r="G47" s="1"/>
      <c r="H47" s="1"/>
      <c r="I47" s="2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2"/>
      <c r="C48" s="6"/>
      <c r="D48" s="1"/>
      <c r="E48" s="1"/>
      <c r="F48" s="1"/>
      <c r="G48" s="1"/>
      <c r="H48" s="1"/>
      <c r="I48" s="2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2"/>
      <c r="C49" s="6"/>
      <c r="D49" s="1"/>
      <c r="E49" s="1"/>
      <c r="F49" s="1"/>
      <c r="G49" s="1"/>
      <c r="H49" s="1"/>
      <c r="I49" s="2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1"/>
      <c r="B50" s="2"/>
      <c r="C50" s="6"/>
      <c r="D50" s="1"/>
      <c r="E50" s="1"/>
      <c r="F50" s="1"/>
      <c r="G50" s="1"/>
      <c r="H50" s="1"/>
      <c r="I50" s="2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2"/>
      <c r="C51" s="6"/>
      <c r="D51" s="1"/>
      <c r="E51" s="1"/>
      <c r="F51" s="1"/>
      <c r="G51" s="1"/>
      <c r="H51" s="1"/>
      <c r="I51" s="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2"/>
      <c r="C52" s="6"/>
      <c r="D52" s="1"/>
      <c r="E52" s="1"/>
      <c r="F52" s="1"/>
      <c r="G52" s="1"/>
      <c r="H52" s="1"/>
      <c r="I52" s="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2"/>
      <c r="C53" s="6"/>
      <c r="D53" s="1"/>
      <c r="E53" s="1"/>
      <c r="F53" s="1"/>
      <c r="G53" s="1"/>
      <c r="H53" s="1"/>
      <c r="I53" s="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2"/>
      <c r="C54" s="6"/>
      <c r="D54" s="1"/>
      <c r="E54" s="1"/>
      <c r="F54" s="1"/>
      <c r="G54" s="1"/>
      <c r="H54" s="1"/>
      <c r="I54" s="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2"/>
      <c r="C55" s="6"/>
      <c r="D55" s="1"/>
      <c r="E55" s="1"/>
      <c r="F55" s="1"/>
      <c r="G55" s="1"/>
      <c r="H55" s="1"/>
      <c r="I55" s="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2"/>
      <c r="C56" s="6"/>
      <c r="D56" s="1"/>
      <c r="E56" s="1"/>
      <c r="F56" s="1"/>
      <c r="G56" s="1"/>
      <c r="H56" s="1"/>
      <c r="I56" s="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1"/>
      <c r="B57" s="2"/>
      <c r="C57" s="6"/>
      <c r="D57" s="1"/>
      <c r="E57" s="1"/>
      <c r="F57" s="1"/>
      <c r="G57" s="1"/>
      <c r="H57" s="1"/>
      <c r="I57" s="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2"/>
      <c r="C58" s="6"/>
      <c r="D58" s="1"/>
      <c r="E58" s="1"/>
      <c r="F58" s="1"/>
      <c r="G58" s="1"/>
      <c r="H58" s="1"/>
      <c r="I58" s="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>
      <c r="A59" s="1"/>
      <c r="B59" s="2"/>
      <c r="C59" s="6"/>
      <c r="D59" s="1"/>
      <c r="E59" s="1"/>
      <c r="F59" s="1"/>
      <c r="G59" s="1"/>
      <c r="H59" s="1"/>
      <c r="I59" s="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>
      <c r="A60" s="1"/>
      <c r="B60" s="2"/>
      <c r="C60" s="6"/>
      <c r="D60" s="1"/>
      <c r="E60" s="1"/>
      <c r="F60" s="1"/>
      <c r="G60" s="1"/>
      <c r="H60" s="1"/>
      <c r="I60" s="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>
      <c r="A61" s="1"/>
      <c r="B61" s="2"/>
      <c r="C61" s="6"/>
      <c r="D61" s="1"/>
      <c r="E61" s="1"/>
      <c r="F61" s="1"/>
      <c r="G61" s="1"/>
      <c r="H61" s="1"/>
      <c r="I61" s="2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>
      <c r="A62" s="1"/>
      <c r="B62" s="2"/>
      <c r="C62" s="6"/>
      <c r="D62" s="1"/>
      <c r="E62" s="1"/>
      <c r="F62" s="1"/>
      <c r="G62" s="1"/>
      <c r="H62" s="1"/>
      <c r="I62" s="2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>
      <c r="A63" s="1"/>
      <c r="B63" s="2"/>
      <c r="C63" s="6"/>
      <c r="D63" s="1"/>
      <c r="E63" s="1"/>
      <c r="F63" s="1"/>
      <c r="G63" s="1"/>
      <c r="H63" s="1"/>
      <c r="I63" s="2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>
      <c r="A64" s="1"/>
      <c r="B64" s="2"/>
      <c r="C64" s="6"/>
      <c r="D64" s="1"/>
      <c r="E64" s="1"/>
      <c r="F64" s="1"/>
      <c r="G64" s="1"/>
      <c r="H64" s="1"/>
      <c r="I64" s="2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>
      <c r="A65" s="1"/>
      <c r="B65" s="2"/>
      <c r="C65" s="6"/>
      <c r="D65" s="1"/>
      <c r="E65" s="1"/>
      <c r="F65" s="1"/>
      <c r="G65" s="1"/>
      <c r="H65" s="1"/>
      <c r="I65" s="2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>
      <c r="A66" s="1"/>
      <c r="B66" s="2"/>
      <c r="C66" s="6"/>
      <c r="D66" s="1"/>
      <c r="E66" s="1"/>
      <c r="F66" s="1"/>
      <c r="G66" s="1"/>
      <c r="H66" s="1"/>
      <c r="I66" s="2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>
      <c r="A67" s="1"/>
      <c r="B67" s="2"/>
      <c r="C67" s="6"/>
      <c r="D67" s="1"/>
      <c r="E67" s="1"/>
      <c r="F67" s="1"/>
      <c r="G67" s="1"/>
      <c r="H67" s="1"/>
      <c r="I67" s="2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>
      <c r="A68" s="1"/>
      <c r="B68" s="2"/>
      <c r="C68" s="6"/>
      <c r="D68" s="1"/>
      <c r="E68" s="1"/>
      <c r="F68" s="1"/>
      <c r="G68" s="1"/>
      <c r="H68" s="1"/>
      <c r="I68" s="2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>
      <c r="A69" s="1"/>
      <c r="B69" s="2"/>
      <c r="C69" s="6"/>
      <c r="D69" s="1"/>
      <c r="E69" s="1"/>
      <c r="F69" s="1"/>
      <c r="G69" s="1"/>
      <c r="H69" s="1"/>
      <c r="I69" s="2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>
      <c r="A70" s="1"/>
      <c r="B70" s="2"/>
      <c r="C70" s="6"/>
      <c r="D70" s="1"/>
      <c r="E70" s="1"/>
      <c r="F70" s="1"/>
      <c r="G70" s="1"/>
      <c r="H70" s="1"/>
      <c r="I70" s="2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>
      <c r="A71" s="1"/>
      <c r="B71" s="2"/>
      <c r="C71" s="6"/>
      <c r="D71" s="1"/>
      <c r="E71" s="1"/>
      <c r="F71" s="1"/>
      <c r="G71" s="1"/>
      <c r="H71" s="1"/>
      <c r="I71" s="2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>
      <c r="A72" s="1"/>
      <c r="B72" s="2"/>
      <c r="C72" s="6"/>
      <c r="D72" s="1"/>
      <c r="E72" s="1"/>
      <c r="F72" s="1"/>
      <c r="G72" s="1"/>
      <c r="H72" s="1"/>
      <c r="I72" s="2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>
      <c r="A73" s="1"/>
      <c r="B73" s="2"/>
      <c r="C73" s="6"/>
      <c r="D73" s="1"/>
      <c r="E73" s="1"/>
      <c r="F73" s="1"/>
      <c r="G73" s="1"/>
      <c r="H73" s="1"/>
      <c r="I73" s="2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>
      <c r="A74" s="1"/>
      <c r="B74" s="2"/>
      <c r="C74" s="6"/>
      <c r="D74" s="1"/>
      <c r="E74" s="1"/>
      <c r="F74" s="1"/>
      <c r="G74" s="1"/>
      <c r="H74" s="1"/>
      <c r="I74" s="2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>
      <c r="A75" s="1"/>
      <c r="B75" s="2"/>
      <c r="C75" s="6"/>
      <c r="D75" s="1"/>
      <c r="E75" s="1"/>
      <c r="F75" s="1"/>
      <c r="G75" s="1"/>
      <c r="H75" s="1"/>
      <c r="I75" s="2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>
      <c r="A76" s="1"/>
      <c r="B76" s="2"/>
      <c r="C76" s="6"/>
      <c r="D76" s="1"/>
      <c r="E76" s="1"/>
      <c r="F76" s="1"/>
      <c r="G76" s="1"/>
      <c r="H76" s="1"/>
      <c r="I76" s="2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>
      <c r="A77" s="1"/>
      <c r="B77" s="2"/>
      <c r="C77" s="6"/>
      <c r="D77" s="1"/>
      <c r="E77" s="1"/>
      <c r="F77" s="1"/>
      <c r="G77" s="1"/>
      <c r="H77" s="1"/>
      <c r="I77" s="2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>
      <c r="A78" s="1"/>
      <c r="B78" s="2"/>
      <c r="C78" s="6"/>
      <c r="D78" s="1"/>
      <c r="E78" s="1"/>
      <c r="F78" s="1"/>
      <c r="G78" s="1"/>
      <c r="H78" s="1"/>
      <c r="I78" s="2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>
      <c r="A79" s="1"/>
      <c r="B79" s="2"/>
      <c r="C79" s="6"/>
      <c r="D79" s="1"/>
      <c r="E79" s="1"/>
      <c r="F79" s="1"/>
      <c r="G79" s="1"/>
      <c r="H79" s="1"/>
      <c r="I79" s="2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>
      <c r="A80" s="1"/>
      <c r="B80" s="2"/>
      <c r="C80" s="6"/>
      <c r="D80" s="1"/>
      <c r="E80" s="1"/>
      <c r="F80" s="1"/>
      <c r="G80" s="1"/>
      <c r="H80" s="1"/>
      <c r="I80" s="2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>
      <c r="A81" s="1"/>
      <c r="B81" s="2"/>
      <c r="C81" s="6"/>
      <c r="D81" s="1"/>
      <c r="E81" s="1"/>
      <c r="F81" s="1"/>
      <c r="G81" s="1"/>
      <c r="H81" s="1"/>
      <c r="I81" s="2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>
      <c r="A82" s="1"/>
      <c r="B82" s="2"/>
      <c r="C82" s="6"/>
      <c r="D82" s="1"/>
      <c r="E82" s="1"/>
      <c r="F82" s="1"/>
      <c r="G82" s="1"/>
      <c r="H82" s="1"/>
      <c r="I82" s="2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>
      <c r="A83" s="1"/>
      <c r="B83" s="2"/>
      <c r="C83" s="6"/>
      <c r="D83" s="1"/>
      <c r="E83" s="1"/>
      <c r="F83" s="1"/>
      <c r="G83" s="1"/>
      <c r="H83" s="1"/>
      <c r="I83" s="2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>
      <c r="A84" s="1"/>
      <c r="B84" s="2"/>
      <c r="C84" s="6"/>
      <c r="D84" s="1"/>
      <c r="E84" s="1"/>
      <c r="F84" s="1"/>
      <c r="G84" s="1"/>
      <c r="H84" s="1"/>
      <c r="I84" s="2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>
      <c r="A85" s="1"/>
      <c r="B85" s="2"/>
      <c r="C85" s="6"/>
      <c r="D85" s="1"/>
      <c r="E85" s="1"/>
      <c r="F85" s="1"/>
      <c r="G85" s="1"/>
      <c r="H85" s="1"/>
      <c r="I85" s="2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>
      <c r="A86" s="1"/>
      <c r="B86" s="2"/>
      <c r="C86" s="6"/>
      <c r="D86" s="1"/>
      <c r="E86" s="1"/>
      <c r="F86" s="1"/>
      <c r="G86" s="1"/>
      <c r="H86" s="1"/>
      <c r="I86" s="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>
      <c r="A87" s="1"/>
      <c r="B87" s="2"/>
      <c r="C87" s="6"/>
      <c r="D87" s="1"/>
      <c r="E87" s="1"/>
      <c r="F87" s="1"/>
      <c r="G87" s="1"/>
      <c r="H87" s="1"/>
      <c r="I87" s="2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>
      <c r="A88" s="1"/>
      <c r="B88" s="2"/>
      <c r="C88" s="6"/>
      <c r="D88" s="1"/>
      <c r="E88" s="1"/>
      <c r="F88" s="1"/>
      <c r="G88" s="1"/>
      <c r="H88" s="1"/>
      <c r="I88" s="2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>
      <c r="A89" s="1"/>
      <c r="B89" s="2"/>
      <c r="C89" s="6"/>
      <c r="D89" s="1"/>
      <c r="E89" s="1"/>
      <c r="F89" s="1"/>
      <c r="G89" s="1"/>
      <c r="H89" s="1"/>
      <c r="I89" s="2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>
      <c r="A90" s="1"/>
      <c r="B90" s="2"/>
      <c r="C90" s="6"/>
      <c r="D90" s="1"/>
      <c r="E90" s="1"/>
      <c r="F90" s="1"/>
      <c r="G90" s="1"/>
      <c r="H90" s="1"/>
      <c r="I90" s="2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>
      <c r="A91" s="1"/>
      <c r="B91" s="2"/>
      <c r="C91" s="6"/>
      <c r="D91" s="1"/>
      <c r="E91" s="1"/>
      <c r="F91" s="1"/>
      <c r="G91" s="1"/>
      <c r="H91" s="1"/>
      <c r="I91" s="2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>
      <c r="A92" s="1"/>
      <c r="B92" s="2"/>
      <c r="C92" s="6"/>
      <c r="D92" s="1"/>
      <c r="E92" s="1"/>
      <c r="F92" s="1"/>
      <c r="G92" s="1"/>
      <c r="H92" s="1"/>
      <c r="I92" s="2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>
      <c r="A93" s="1"/>
      <c r="B93" s="2"/>
      <c r="C93" s="6"/>
      <c r="D93" s="1"/>
      <c r="E93" s="1"/>
      <c r="F93" s="1"/>
      <c r="G93" s="1"/>
      <c r="H93" s="1"/>
      <c r="I93" s="2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>
      <c r="A94" s="1"/>
      <c r="B94" s="2"/>
      <c r="C94" s="6"/>
      <c r="D94" s="1"/>
      <c r="E94" s="1"/>
      <c r="F94" s="1"/>
      <c r="G94" s="1"/>
      <c r="H94" s="1"/>
      <c r="I94" s="2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>
      <c r="A95" s="1"/>
      <c r="B95" s="2"/>
      <c r="C95" s="6"/>
      <c r="D95" s="1"/>
      <c r="E95" s="1"/>
      <c r="F95" s="1"/>
      <c r="G95" s="1"/>
      <c r="H95" s="1"/>
      <c r="I95" s="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>
      <c r="A96" s="1"/>
      <c r="B96" s="2"/>
      <c r="C96" s="6"/>
      <c r="D96" s="1"/>
      <c r="E96" s="1"/>
      <c r="F96" s="1"/>
      <c r="G96" s="1"/>
      <c r="H96" s="1"/>
      <c r="I96" s="2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>
      <c r="A97" s="1"/>
      <c r="B97" s="2"/>
      <c r="C97" s="6"/>
      <c r="D97" s="1"/>
      <c r="E97" s="1"/>
      <c r="F97" s="1"/>
      <c r="G97" s="1"/>
      <c r="H97" s="1"/>
      <c r="I97" s="2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>
      <c r="A98" s="1"/>
      <c r="B98" s="2"/>
      <c r="C98" s="6"/>
      <c r="D98" s="1"/>
      <c r="E98" s="1"/>
      <c r="F98" s="1"/>
      <c r="G98" s="1"/>
      <c r="H98" s="1"/>
      <c r="I98" s="2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>
      <c r="A99" s="1"/>
      <c r="B99" s="2"/>
      <c r="C99" s="6"/>
      <c r="D99" s="1"/>
      <c r="E99" s="1"/>
      <c r="F99" s="1"/>
      <c r="G99" s="1"/>
      <c r="H99" s="1"/>
      <c r="I99" s="2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>
      <c r="A100" s="1"/>
      <c r="B100" s="2"/>
      <c r="C100" s="6"/>
      <c r="D100" s="1"/>
      <c r="E100" s="1"/>
      <c r="F100" s="1"/>
      <c r="G100" s="1"/>
      <c r="H100" s="1"/>
      <c r="I100" s="2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>
      <c r="A101" s="1"/>
      <c r="B101" s="2"/>
      <c r="C101" s="6"/>
      <c r="D101" s="1"/>
      <c r="E101" s="1"/>
      <c r="F101" s="1"/>
      <c r="G101" s="1"/>
      <c r="H101" s="1"/>
      <c r="I101" s="2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>
      <c r="A102" s="1"/>
      <c r="B102" s="2"/>
      <c r="C102" s="6"/>
      <c r="D102" s="1"/>
      <c r="E102" s="1"/>
      <c r="F102" s="1"/>
      <c r="G102" s="1"/>
      <c r="H102" s="1"/>
      <c r="I102" s="2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>
      <c r="A103" s="1"/>
      <c r="B103" s="2"/>
      <c r="C103" s="6"/>
      <c r="D103" s="1"/>
      <c r="E103" s="1"/>
      <c r="F103" s="1"/>
      <c r="G103" s="1"/>
      <c r="H103" s="1"/>
      <c r="I103" s="2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>
      <c r="A104" s="1"/>
      <c r="B104" s="2"/>
      <c r="C104" s="6"/>
      <c r="D104" s="1"/>
      <c r="E104" s="1"/>
      <c r="F104" s="1"/>
      <c r="G104" s="1"/>
      <c r="H104" s="1"/>
      <c r="I104" s="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>
      <c r="A105" s="1"/>
      <c r="B105" s="2"/>
      <c r="C105" s="6"/>
      <c r="D105" s="1"/>
      <c r="E105" s="1"/>
      <c r="F105" s="1"/>
      <c r="G105" s="1"/>
      <c r="H105" s="1"/>
      <c r="I105" s="2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>
      <c r="A106" s="1"/>
      <c r="B106" s="2"/>
      <c r="C106" s="6"/>
      <c r="D106" s="1"/>
      <c r="E106" s="1"/>
      <c r="F106" s="1"/>
      <c r="G106" s="1"/>
      <c r="H106" s="1"/>
      <c r="I106" s="2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>
      <c r="A107" s="1"/>
      <c r="B107" s="2"/>
      <c r="C107" s="6"/>
      <c r="D107" s="1"/>
      <c r="E107" s="1"/>
      <c r="F107" s="1"/>
      <c r="G107" s="1"/>
      <c r="H107" s="1"/>
      <c r="I107" s="2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>
      <c r="A108" s="1"/>
      <c r="B108" s="2"/>
      <c r="C108" s="6"/>
      <c r="D108" s="1"/>
      <c r="E108" s="1"/>
      <c r="F108" s="1"/>
      <c r="G108" s="1"/>
      <c r="H108" s="1"/>
      <c r="I108" s="2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>
      <c r="A109" s="1"/>
      <c r="B109" s="2"/>
      <c r="C109" s="6"/>
      <c r="D109" s="1"/>
      <c r="E109" s="1"/>
      <c r="F109" s="1"/>
      <c r="G109" s="1"/>
      <c r="H109" s="1"/>
      <c r="I109" s="2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>
      <c r="A110" s="1"/>
      <c r="B110" s="2"/>
      <c r="C110" s="6"/>
      <c r="D110" s="1"/>
      <c r="E110" s="1"/>
      <c r="F110" s="1"/>
      <c r="G110" s="1"/>
      <c r="H110" s="1"/>
      <c r="I110" s="2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>
      <c r="A111" s="1"/>
      <c r="B111" s="2"/>
      <c r="C111" s="6"/>
      <c r="D111" s="1"/>
      <c r="E111" s="1"/>
      <c r="F111" s="1"/>
      <c r="G111" s="1"/>
      <c r="H111" s="1"/>
      <c r="I111" s="2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>
      <c r="A112" s="1"/>
      <c r="B112" s="2"/>
      <c r="C112" s="6"/>
      <c r="D112" s="1"/>
      <c r="E112" s="1"/>
      <c r="F112" s="1"/>
      <c r="G112" s="1"/>
      <c r="H112" s="1"/>
      <c r="I112" s="2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>
      <c r="A113" s="1"/>
      <c r="B113" s="2"/>
      <c r="C113" s="6"/>
      <c r="D113" s="1"/>
      <c r="E113" s="1"/>
      <c r="F113" s="1"/>
      <c r="G113" s="1"/>
      <c r="H113" s="1"/>
      <c r="I113" s="2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>
      <c r="A114" s="1"/>
      <c r="B114" s="2"/>
      <c r="C114" s="6"/>
      <c r="D114" s="1"/>
      <c r="E114" s="1"/>
      <c r="F114" s="1"/>
      <c r="G114" s="1"/>
      <c r="H114" s="1"/>
      <c r="I114" s="2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>
      <c r="A115" s="1"/>
      <c r="B115" s="2"/>
      <c r="C115" s="6"/>
      <c r="D115" s="1"/>
      <c r="E115" s="1"/>
      <c r="F115" s="1"/>
      <c r="G115" s="1"/>
      <c r="H115" s="1"/>
      <c r="I115" s="2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>
      <c r="A116" s="1"/>
      <c r="B116" s="2"/>
      <c r="C116" s="6"/>
      <c r="D116" s="1"/>
      <c r="E116" s="1"/>
      <c r="F116" s="1"/>
      <c r="G116" s="1"/>
      <c r="H116" s="1"/>
      <c r="I116" s="2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>
      <c r="A117" s="1"/>
      <c r="B117" s="2"/>
      <c r="C117" s="6"/>
      <c r="D117" s="1"/>
      <c r="E117" s="1"/>
      <c r="F117" s="1"/>
      <c r="G117" s="1"/>
      <c r="H117" s="1"/>
      <c r="I117" s="2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>
      <c r="A118" s="1"/>
      <c r="B118" s="2"/>
      <c r="C118" s="6"/>
      <c r="D118" s="1"/>
      <c r="E118" s="1"/>
      <c r="F118" s="1"/>
      <c r="G118" s="1"/>
      <c r="H118" s="1"/>
      <c r="I118" s="2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>
      <c r="A119" s="1"/>
      <c r="B119" s="2"/>
      <c r="C119" s="6"/>
      <c r="D119" s="1"/>
      <c r="E119" s="1"/>
      <c r="F119" s="1"/>
      <c r="G119" s="1"/>
      <c r="H119" s="1"/>
      <c r="I119" s="2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>
      <c r="A120" s="1"/>
      <c r="B120" s="2"/>
      <c r="C120" s="6"/>
      <c r="D120" s="1"/>
      <c r="E120" s="1"/>
      <c r="F120" s="1"/>
      <c r="G120" s="1"/>
      <c r="H120" s="1"/>
      <c r="I120" s="2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>
      <c r="A121" s="1"/>
      <c r="B121" s="2"/>
      <c r="C121" s="6"/>
      <c r="D121" s="1"/>
      <c r="E121" s="1"/>
      <c r="F121" s="1"/>
      <c r="G121" s="1"/>
      <c r="H121" s="1"/>
      <c r="I121" s="2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>
      <c r="A122" s="1"/>
      <c r="B122" s="2"/>
      <c r="C122" s="6"/>
      <c r="D122" s="1"/>
      <c r="E122" s="1"/>
      <c r="F122" s="1"/>
      <c r="G122" s="1"/>
      <c r="H122" s="1"/>
      <c r="I122" s="2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>
      <c r="A123" s="1"/>
      <c r="B123" s="2"/>
      <c r="C123" s="6"/>
      <c r="D123" s="1"/>
      <c r="E123" s="1"/>
      <c r="F123" s="1"/>
      <c r="G123" s="1"/>
      <c r="H123" s="1"/>
      <c r="I123" s="2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>
      <c r="A124" s="1"/>
      <c r="B124" s="2"/>
      <c r="C124" s="6"/>
      <c r="D124" s="1"/>
      <c r="E124" s="1"/>
      <c r="F124" s="1"/>
      <c r="G124" s="1"/>
      <c r="H124" s="1"/>
      <c r="I124" s="2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>
      <c r="A125" s="1"/>
      <c r="B125" s="2"/>
      <c r="C125" s="6"/>
      <c r="D125" s="1"/>
      <c r="E125" s="1"/>
      <c r="F125" s="1"/>
      <c r="G125" s="1"/>
      <c r="H125" s="1"/>
      <c r="I125" s="2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>
      <c r="A126" s="1"/>
      <c r="B126" s="2"/>
      <c r="C126" s="6"/>
      <c r="D126" s="1"/>
      <c r="E126" s="1"/>
      <c r="F126" s="1"/>
      <c r="G126" s="1"/>
      <c r="H126" s="1"/>
      <c r="I126" s="2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>
      <c r="A127" s="1"/>
      <c r="B127" s="2"/>
      <c r="C127" s="6"/>
      <c r="D127" s="1"/>
      <c r="E127" s="1"/>
      <c r="F127" s="1"/>
      <c r="G127" s="1"/>
      <c r="H127" s="1"/>
      <c r="I127" s="2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>
      <c r="A128" s="1"/>
      <c r="B128" s="2"/>
      <c r="C128" s="6"/>
      <c r="D128" s="1"/>
      <c r="E128" s="1"/>
      <c r="F128" s="1"/>
      <c r="G128" s="1"/>
      <c r="H128" s="1"/>
      <c r="I128" s="2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>
      <c r="A129" s="1"/>
      <c r="B129" s="2"/>
      <c r="C129" s="6"/>
      <c r="D129" s="1"/>
      <c r="E129" s="1"/>
      <c r="F129" s="1"/>
      <c r="G129" s="1"/>
      <c r="H129" s="1"/>
      <c r="I129" s="2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>
      <c r="A130" s="1"/>
      <c r="B130" s="2"/>
      <c r="C130" s="6"/>
      <c r="D130" s="1"/>
      <c r="E130" s="1"/>
      <c r="F130" s="1"/>
      <c r="G130" s="1"/>
      <c r="H130" s="1"/>
      <c r="I130" s="2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>
      <c r="A131" s="1"/>
      <c r="B131" s="2"/>
      <c r="C131" s="6"/>
      <c r="D131" s="1"/>
      <c r="E131" s="1"/>
      <c r="F131" s="1"/>
      <c r="G131" s="1"/>
      <c r="H131" s="1"/>
      <c r="I131" s="2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>
      <c r="A132" s="1"/>
      <c r="B132" s="2"/>
      <c r="C132" s="6"/>
      <c r="D132" s="1"/>
      <c r="E132" s="1"/>
      <c r="F132" s="1"/>
      <c r="G132" s="1"/>
      <c r="H132" s="1"/>
      <c r="I132" s="2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>
      <c r="A133" s="1"/>
      <c r="B133" s="2"/>
      <c r="C133" s="6"/>
      <c r="D133" s="1"/>
      <c r="E133" s="1"/>
      <c r="F133" s="1"/>
      <c r="G133" s="1"/>
      <c r="H133" s="1"/>
      <c r="I133" s="2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>
      <c r="A134" s="1"/>
      <c r="B134" s="2"/>
      <c r="C134" s="6"/>
      <c r="D134" s="1"/>
      <c r="E134" s="1"/>
      <c r="F134" s="1"/>
      <c r="G134" s="1"/>
      <c r="H134" s="1"/>
      <c r="I134" s="2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>
      <c r="A135" s="1"/>
      <c r="B135" s="2"/>
      <c r="C135" s="6"/>
      <c r="D135" s="1"/>
      <c r="E135" s="1"/>
      <c r="F135" s="1"/>
      <c r="G135" s="1"/>
      <c r="H135" s="1"/>
      <c r="I135" s="2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>
      <c r="A136" s="1"/>
      <c r="B136" s="2"/>
      <c r="C136" s="6"/>
      <c r="D136" s="1"/>
      <c r="E136" s="1"/>
      <c r="F136" s="1"/>
      <c r="G136" s="1"/>
      <c r="H136" s="1"/>
      <c r="I136" s="2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>
      <c r="A137" s="1"/>
      <c r="B137" s="2"/>
      <c r="C137" s="6"/>
      <c r="D137" s="1"/>
      <c r="E137" s="1"/>
      <c r="F137" s="1"/>
      <c r="G137" s="1"/>
      <c r="H137" s="1"/>
      <c r="I137" s="2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>
      <c r="A138" s="1"/>
      <c r="B138" s="2"/>
      <c r="C138" s="6"/>
      <c r="D138" s="1"/>
      <c r="E138" s="1"/>
      <c r="F138" s="1"/>
      <c r="G138" s="1"/>
      <c r="H138" s="1"/>
      <c r="I138" s="2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>
      <c r="A139" s="1"/>
      <c r="B139" s="2"/>
      <c r="C139" s="6"/>
      <c r="D139" s="1"/>
      <c r="E139" s="1"/>
      <c r="F139" s="1"/>
      <c r="G139" s="1"/>
      <c r="H139" s="1"/>
      <c r="I139" s="2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>
      <c r="A140" s="1"/>
      <c r="B140" s="2"/>
      <c r="C140" s="6"/>
      <c r="D140" s="1"/>
      <c r="E140" s="1"/>
      <c r="F140" s="1"/>
      <c r="G140" s="1"/>
      <c r="H140" s="1"/>
      <c r="I140" s="2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>
      <c r="A141" s="1"/>
      <c r="B141" s="2"/>
      <c r="C141" s="6"/>
      <c r="D141" s="1"/>
      <c r="E141" s="1"/>
      <c r="F141" s="1"/>
      <c r="G141" s="1"/>
      <c r="H141" s="1"/>
      <c r="I141" s="2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>
      <c r="A142" s="1"/>
      <c r="B142" s="2"/>
      <c r="C142" s="6"/>
      <c r="D142" s="1"/>
      <c r="E142" s="1"/>
      <c r="F142" s="1"/>
      <c r="G142" s="1"/>
      <c r="H142" s="1"/>
      <c r="I142" s="2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>
      <c r="A143" s="1"/>
      <c r="B143" s="2"/>
      <c r="C143" s="6"/>
      <c r="D143" s="1"/>
      <c r="E143" s="1"/>
      <c r="F143" s="1"/>
      <c r="G143" s="1"/>
      <c r="H143" s="1"/>
      <c r="I143" s="2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>
      <c r="A144" s="1"/>
      <c r="B144" s="2"/>
      <c r="C144" s="6"/>
      <c r="D144" s="1"/>
      <c r="E144" s="1"/>
      <c r="F144" s="1"/>
      <c r="G144" s="1"/>
      <c r="H144" s="1"/>
      <c r="I144" s="2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>
      <c r="A145" s="1"/>
      <c r="B145" s="2"/>
      <c r="C145" s="6"/>
      <c r="D145" s="1"/>
      <c r="E145" s="1"/>
      <c r="F145" s="1"/>
      <c r="G145" s="1"/>
      <c r="H145" s="1"/>
      <c r="I145" s="2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>
      <c r="A146" s="1"/>
      <c r="B146" s="2"/>
      <c r="C146" s="6"/>
      <c r="D146" s="1"/>
      <c r="E146" s="1"/>
      <c r="F146" s="1"/>
      <c r="G146" s="1"/>
      <c r="H146" s="1"/>
      <c r="I146" s="2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>
      <c r="A147" s="1"/>
      <c r="B147" s="2"/>
      <c r="C147" s="6"/>
      <c r="D147" s="1"/>
      <c r="E147" s="1"/>
      <c r="F147" s="1"/>
      <c r="G147" s="1"/>
      <c r="H147" s="1"/>
      <c r="I147" s="2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>
      <c r="A148" s="1"/>
      <c r="B148" s="2"/>
      <c r="C148" s="6"/>
      <c r="D148" s="1"/>
      <c r="E148" s="1"/>
      <c r="F148" s="1"/>
      <c r="G148" s="1"/>
      <c r="H148" s="1"/>
      <c r="I148" s="2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>
      <c r="A149" s="1"/>
      <c r="B149" s="2"/>
      <c r="C149" s="6"/>
      <c r="D149" s="1"/>
      <c r="E149" s="1"/>
      <c r="F149" s="1"/>
      <c r="G149" s="1"/>
      <c r="H149" s="1"/>
      <c r="I149" s="2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>
      <c r="A150" s="1"/>
      <c r="B150" s="2"/>
      <c r="C150" s="6"/>
      <c r="D150" s="1"/>
      <c r="E150" s="1"/>
      <c r="F150" s="1"/>
      <c r="G150" s="1"/>
      <c r="H150" s="1"/>
      <c r="I150" s="2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>
      <c r="A151" s="1"/>
      <c r="B151" s="2"/>
      <c r="C151" s="6"/>
      <c r="D151" s="1"/>
      <c r="E151" s="1"/>
      <c r="F151" s="1"/>
      <c r="G151" s="1"/>
      <c r="H151" s="1"/>
      <c r="I151" s="2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>
      <c r="A152" s="1"/>
      <c r="B152" s="2"/>
      <c r="C152" s="6"/>
      <c r="D152" s="1"/>
      <c r="E152" s="1"/>
      <c r="F152" s="1"/>
      <c r="G152" s="1"/>
      <c r="H152" s="1"/>
      <c r="I152" s="2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>
      <c r="A153" s="1"/>
      <c r="B153" s="2"/>
      <c r="C153" s="6"/>
      <c r="D153" s="1"/>
      <c r="E153" s="1"/>
      <c r="F153" s="1"/>
      <c r="G153" s="1"/>
      <c r="H153" s="1"/>
      <c r="I153" s="2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>
      <c r="A154" s="1"/>
      <c r="B154" s="2"/>
      <c r="C154" s="6"/>
      <c r="D154" s="1"/>
      <c r="E154" s="1"/>
      <c r="F154" s="1"/>
      <c r="G154" s="1"/>
      <c r="H154" s="1"/>
      <c r="I154" s="2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>
      <c r="A155" s="1"/>
      <c r="B155" s="2"/>
      <c r="C155" s="6"/>
      <c r="D155" s="1"/>
      <c r="E155" s="1"/>
      <c r="F155" s="1"/>
      <c r="G155" s="1"/>
      <c r="H155" s="1"/>
      <c r="I155" s="2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>
      <c r="A156" s="1"/>
      <c r="B156" s="2"/>
      <c r="C156" s="6"/>
      <c r="D156" s="1"/>
      <c r="E156" s="1"/>
      <c r="F156" s="1"/>
      <c r="G156" s="1"/>
      <c r="H156" s="1"/>
      <c r="I156" s="2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>
      <c r="A157" s="1"/>
      <c r="B157" s="2"/>
      <c r="C157" s="6"/>
      <c r="D157" s="1"/>
      <c r="E157" s="1"/>
      <c r="F157" s="1"/>
      <c r="G157" s="1"/>
      <c r="H157" s="1"/>
      <c r="I157" s="2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>
      <c r="A158" s="1"/>
      <c r="B158" s="2"/>
      <c r="C158" s="6"/>
      <c r="D158" s="1"/>
      <c r="E158" s="1"/>
      <c r="F158" s="1"/>
      <c r="G158" s="1"/>
      <c r="H158" s="1"/>
      <c r="I158" s="2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>
      <c r="A159" s="1"/>
      <c r="B159" s="2"/>
      <c r="C159" s="6"/>
      <c r="D159" s="1"/>
      <c r="E159" s="1"/>
      <c r="F159" s="1"/>
      <c r="G159" s="1"/>
      <c r="H159" s="1"/>
      <c r="I159" s="2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>
      <c r="A160" s="1"/>
      <c r="B160" s="2"/>
      <c r="C160" s="6"/>
      <c r="D160" s="1"/>
      <c r="E160" s="1"/>
      <c r="F160" s="1"/>
      <c r="G160" s="1"/>
      <c r="H160" s="1"/>
      <c r="I160" s="2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>
      <c r="A161" s="1"/>
      <c r="B161" s="2"/>
      <c r="C161" s="6"/>
      <c r="D161" s="1"/>
      <c r="E161" s="1"/>
      <c r="F161" s="1"/>
      <c r="G161" s="1"/>
      <c r="H161" s="1"/>
      <c r="I161" s="2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>
      <c r="A162" s="1"/>
      <c r="B162" s="2"/>
      <c r="C162" s="6"/>
      <c r="D162" s="1"/>
      <c r="E162" s="1"/>
      <c r="F162" s="1"/>
      <c r="G162" s="1"/>
      <c r="H162" s="1"/>
      <c r="I162" s="2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>
      <c r="A163" s="1"/>
      <c r="B163" s="2"/>
      <c r="C163" s="6"/>
      <c r="D163" s="1"/>
      <c r="E163" s="1"/>
      <c r="F163" s="1"/>
      <c r="G163" s="1"/>
      <c r="H163" s="1"/>
      <c r="I163" s="2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>
      <c r="A164" s="1"/>
      <c r="B164" s="2"/>
      <c r="C164" s="6"/>
      <c r="D164" s="1"/>
      <c r="E164" s="1"/>
      <c r="F164" s="1"/>
      <c r="G164" s="1"/>
      <c r="H164" s="1"/>
      <c r="I164" s="2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>
      <c r="A165" s="1"/>
      <c r="B165" s="2"/>
      <c r="C165" s="6"/>
      <c r="D165" s="1"/>
      <c r="E165" s="1"/>
      <c r="F165" s="1"/>
      <c r="G165" s="1"/>
      <c r="H165" s="1"/>
      <c r="I165" s="2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>
      <c r="A166" s="1"/>
      <c r="B166" s="2"/>
      <c r="C166" s="6"/>
      <c r="D166" s="1"/>
      <c r="E166" s="1"/>
      <c r="F166" s="1"/>
      <c r="G166" s="1"/>
      <c r="H166" s="1"/>
      <c r="I166" s="2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>
      <c r="A167" s="1"/>
      <c r="B167" s="2"/>
      <c r="C167" s="6"/>
      <c r="D167" s="1"/>
      <c r="E167" s="1"/>
      <c r="F167" s="1"/>
      <c r="G167" s="1"/>
      <c r="H167" s="1"/>
      <c r="I167" s="2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>
      <c r="A168" s="1"/>
      <c r="B168" s="2"/>
      <c r="C168" s="6"/>
      <c r="D168" s="1"/>
      <c r="E168" s="1"/>
      <c r="F168" s="1"/>
      <c r="G168" s="1"/>
      <c r="H168" s="1"/>
      <c r="I168" s="2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>
      <c r="A169" s="1"/>
      <c r="B169" s="2"/>
      <c r="C169" s="6"/>
      <c r="D169" s="1"/>
      <c r="E169" s="1"/>
      <c r="F169" s="1"/>
      <c r="G169" s="1"/>
      <c r="H169" s="1"/>
      <c r="I169" s="2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>
      <c r="A170" s="1"/>
      <c r="B170" s="2"/>
      <c r="C170" s="6"/>
      <c r="D170" s="1"/>
      <c r="E170" s="1"/>
      <c r="F170" s="1"/>
      <c r="G170" s="1"/>
      <c r="H170" s="1"/>
      <c r="I170" s="2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>
      <c r="A171" s="1"/>
      <c r="B171" s="2"/>
      <c r="C171" s="6"/>
      <c r="D171" s="1"/>
      <c r="E171" s="1"/>
      <c r="F171" s="1"/>
      <c r="G171" s="1"/>
      <c r="H171" s="1"/>
      <c r="I171" s="2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>
      <c r="A172" s="1"/>
      <c r="B172" s="2"/>
      <c r="C172" s="6"/>
      <c r="D172" s="1"/>
      <c r="E172" s="1"/>
      <c r="F172" s="1"/>
      <c r="G172" s="1"/>
      <c r="H172" s="1"/>
      <c r="I172" s="2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>
      <c r="A173" s="1"/>
      <c r="B173" s="2"/>
      <c r="C173" s="6"/>
      <c r="D173" s="1"/>
      <c r="E173" s="1"/>
      <c r="F173" s="1"/>
      <c r="G173" s="1"/>
      <c r="H173" s="1"/>
      <c r="I173" s="2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>
      <c r="A174" s="1"/>
      <c r="B174" s="2"/>
      <c r="C174" s="6"/>
      <c r="D174" s="1"/>
      <c r="E174" s="1"/>
      <c r="F174" s="1"/>
      <c r="G174" s="1"/>
      <c r="H174" s="1"/>
      <c r="I174" s="2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>
      <c r="A175" s="1"/>
      <c r="B175" s="2"/>
      <c r="C175" s="6"/>
      <c r="D175" s="1"/>
      <c r="E175" s="1"/>
      <c r="F175" s="1"/>
      <c r="G175" s="1"/>
      <c r="H175" s="1"/>
      <c r="I175" s="2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>
      <c r="A176" s="1"/>
      <c r="B176" s="2"/>
      <c r="C176" s="6"/>
      <c r="D176" s="1"/>
      <c r="E176" s="1"/>
      <c r="F176" s="1"/>
      <c r="G176" s="1"/>
      <c r="H176" s="1"/>
      <c r="I176" s="2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>
      <c r="A177" s="1"/>
      <c r="B177" s="2"/>
      <c r="C177" s="6"/>
      <c r="D177" s="1"/>
      <c r="E177" s="1"/>
      <c r="F177" s="1"/>
      <c r="G177" s="1"/>
      <c r="H177" s="1"/>
      <c r="I177" s="2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>
      <c r="A178" s="1"/>
      <c r="B178" s="2"/>
      <c r="C178" s="6"/>
      <c r="D178" s="1"/>
      <c r="E178" s="1"/>
      <c r="F178" s="1"/>
      <c r="G178" s="1"/>
      <c r="H178" s="1"/>
      <c r="I178" s="2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>
      <c r="A179" s="1"/>
      <c r="B179" s="2"/>
      <c r="C179" s="6"/>
      <c r="D179" s="1"/>
      <c r="E179" s="1"/>
      <c r="F179" s="1"/>
      <c r="G179" s="1"/>
      <c r="H179" s="1"/>
      <c r="I179" s="2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>
      <c r="A180" s="1"/>
      <c r="B180" s="2"/>
      <c r="C180" s="6"/>
      <c r="D180" s="1"/>
      <c r="E180" s="1"/>
      <c r="F180" s="1"/>
      <c r="G180" s="1"/>
      <c r="H180" s="1"/>
      <c r="I180" s="2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>
      <c r="A181" s="1"/>
      <c r="B181" s="2"/>
      <c r="C181" s="6"/>
      <c r="D181" s="1"/>
      <c r="E181" s="1"/>
      <c r="F181" s="1"/>
      <c r="G181" s="1"/>
      <c r="H181" s="1"/>
      <c r="I181" s="2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>
      <c r="A182" s="1"/>
      <c r="B182" s="2"/>
      <c r="C182" s="6"/>
      <c r="D182" s="1"/>
      <c r="E182" s="1"/>
      <c r="F182" s="1"/>
      <c r="G182" s="1"/>
      <c r="H182" s="1"/>
      <c r="I182" s="2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>
      <c r="A183" s="1"/>
      <c r="B183" s="2"/>
      <c r="C183" s="6"/>
      <c r="D183" s="1"/>
      <c r="E183" s="1"/>
      <c r="F183" s="1"/>
      <c r="G183" s="1"/>
      <c r="H183" s="1"/>
      <c r="I183" s="2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>
      <c r="A184" s="1"/>
      <c r="B184" s="2"/>
      <c r="C184" s="6"/>
      <c r="D184" s="1"/>
      <c r="E184" s="1"/>
      <c r="F184" s="1"/>
      <c r="G184" s="1"/>
      <c r="H184" s="1"/>
      <c r="I184" s="2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>
      <c r="A185" s="1"/>
      <c r="B185" s="2"/>
      <c r="C185" s="6"/>
      <c r="D185" s="1"/>
      <c r="E185" s="1"/>
      <c r="F185" s="1"/>
      <c r="G185" s="1"/>
      <c r="H185" s="1"/>
      <c r="I185" s="2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>
      <c r="A186" s="1"/>
      <c r="B186" s="2"/>
      <c r="C186" s="6"/>
      <c r="D186" s="1"/>
      <c r="E186" s="1"/>
      <c r="F186" s="1"/>
      <c r="G186" s="1"/>
      <c r="H186" s="1"/>
      <c r="I186" s="2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>
      <c r="A187" s="1"/>
      <c r="B187" s="2"/>
      <c r="C187" s="6"/>
      <c r="D187" s="1"/>
      <c r="E187" s="1"/>
      <c r="F187" s="1"/>
      <c r="G187" s="1"/>
      <c r="H187" s="1"/>
      <c r="I187" s="2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>
      <c r="A188" s="1"/>
      <c r="B188" s="2"/>
      <c r="C188" s="6"/>
      <c r="D188" s="1"/>
      <c r="E188" s="1"/>
      <c r="F188" s="1"/>
      <c r="G188" s="1"/>
      <c r="H188" s="1"/>
      <c r="I188" s="2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>
      <c r="A189" s="1"/>
      <c r="B189" s="2"/>
      <c r="C189" s="6"/>
      <c r="D189" s="1"/>
      <c r="E189" s="1"/>
      <c r="F189" s="1"/>
      <c r="G189" s="1"/>
      <c r="H189" s="1"/>
      <c r="I189" s="2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>
      <c r="A190" s="1"/>
      <c r="B190" s="2"/>
      <c r="C190" s="6"/>
      <c r="D190" s="1"/>
      <c r="E190" s="1"/>
      <c r="F190" s="1"/>
      <c r="G190" s="1"/>
      <c r="H190" s="1"/>
      <c r="I190" s="2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>
      <c r="A191" s="1"/>
      <c r="B191" s="2"/>
      <c r="C191" s="6"/>
      <c r="D191" s="1"/>
      <c r="E191" s="1"/>
      <c r="F191" s="1"/>
      <c r="G191" s="1"/>
      <c r="H191" s="1"/>
      <c r="I191" s="2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>
      <c r="A192" s="1"/>
      <c r="B192" s="2"/>
      <c r="C192" s="6"/>
      <c r="D192" s="1"/>
      <c r="E192" s="1"/>
      <c r="F192" s="1"/>
      <c r="G192" s="1"/>
      <c r="H192" s="1"/>
      <c r="I192" s="2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>
      <c r="A193" s="1"/>
      <c r="B193" s="2"/>
      <c r="C193" s="6"/>
      <c r="D193" s="1"/>
      <c r="E193" s="1"/>
      <c r="F193" s="1"/>
      <c r="G193" s="1"/>
      <c r="H193" s="1"/>
      <c r="I193" s="2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>
      <c r="A194" s="1"/>
      <c r="B194" s="2"/>
      <c r="C194" s="6"/>
      <c r="D194" s="1"/>
      <c r="E194" s="1"/>
      <c r="F194" s="1"/>
      <c r="G194" s="1"/>
      <c r="H194" s="1"/>
      <c r="I194" s="2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>
      <c r="A195" s="1"/>
      <c r="B195" s="2"/>
      <c r="C195" s="6"/>
      <c r="D195" s="1"/>
      <c r="E195" s="1"/>
      <c r="F195" s="1"/>
      <c r="G195" s="1"/>
      <c r="H195" s="1"/>
      <c r="I195" s="2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>
      <c r="A196" s="1"/>
      <c r="B196" s="2"/>
      <c r="C196" s="6"/>
      <c r="D196" s="1"/>
      <c r="E196" s="1"/>
      <c r="F196" s="1"/>
      <c r="G196" s="1"/>
      <c r="H196" s="1"/>
      <c r="I196" s="2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>
      <c r="A197" s="1"/>
      <c r="B197" s="2"/>
      <c r="C197" s="6"/>
      <c r="D197" s="1"/>
      <c r="E197" s="1"/>
      <c r="F197" s="1"/>
      <c r="G197" s="1"/>
      <c r="H197" s="1"/>
      <c r="I197" s="2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>
      <c r="A198" s="1"/>
      <c r="B198" s="2"/>
      <c r="C198" s="6"/>
      <c r="D198" s="1"/>
      <c r="E198" s="1"/>
      <c r="F198" s="1"/>
      <c r="G198" s="1"/>
      <c r="H198" s="1"/>
      <c r="I198" s="2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>
      <c r="A199" s="1"/>
      <c r="B199" s="2"/>
      <c r="C199" s="6"/>
      <c r="D199" s="1"/>
      <c r="E199" s="1"/>
      <c r="F199" s="1"/>
      <c r="G199" s="1"/>
      <c r="H199" s="1"/>
      <c r="I199" s="2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>
      <c r="A200" s="1"/>
      <c r="B200" s="2"/>
      <c r="C200" s="6"/>
      <c r="D200" s="1"/>
      <c r="E200" s="1"/>
      <c r="F200" s="1"/>
      <c r="G200" s="1"/>
      <c r="H200" s="1"/>
      <c r="I200" s="2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>
      <c r="A201" s="1"/>
      <c r="B201" s="2"/>
      <c r="C201" s="6"/>
      <c r="D201" s="1"/>
      <c r="E201" s="1"/>
      <c r="F201" s="1"/>
      <c r="G201" s="1"/>
      <c r="H201" s="1"/>
      <c r="I201" s="2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>
      <c r="A202" s="1"/>
      <c r="B202" s="2"/>
      <c r="C202" s="6"/>
      <c r="D202" s="1"/>
      <c r="E202" s="1"/>
      <c r="F202" s="1"/>
      <c r="G202" s="1"/>
      <c r="H202" s="1"/>
      <c r="I202" s="2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>
      <c r="A203" s="1"/>
      <c r="B203" s="2"/>
      <c r="C203" s="6"/>
      <c r="D203" s="1"/>
      <c r="E203" s="1"/>
      <c r="F203" s="1"/>
      <c r="G203" s="1"/>
      <c r="H203" s="1"/>
      <c r="I203" s="2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>
      <c r="A204" s="1"/>
      <c r="B204" s="2"/>
      <c r="C204" s="6"/>
      <c r="D204" s="1"/>
      <c r="E204" s="1"/>
      <c r="F204" s="1"/>
      <c r="G204" s="1"/>
      <c r="H204" s="1"/>
      <c r="I204" s="2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>
      <c r="A205" s="1"/>
      <c r="B205" s="2"/>
      <c r="C205" s="6"/>
      <c r="D205" s="1"/>
      <c r="E205" s="1"/>
      <c r="F205" s="1"/>
      <c r="G205" s="1"/>
      <c r="H205" s="1"/>
      <c r="I205" s="2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>
      <c r="A206" s="1"/>
      <c r="B206" s="2"/>
      <c r="C206" s="6"/>
      <c r="D206" s="1"/>
      <c r="E206" s="1"/>
      <c r="F206" s="1"/>
      <c r="G206" s="1"/>
      <c r="H206" s="1"/>
      <c r="I206" s="2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>
      <c r="A207" s="1"/>
      <c r="B207" s="2"/>
      <c r="C207" s="6"/>
      <c r="D207" s="1"/>
      <c r="E207" s="1"/>
      <c r="F207" s="1"/>
      <c r="G207" s="1"/>
      <c r="H207" s="1"/>
      <c r="I207" s="2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>
      <c r="A208" s="1"/>
      <c r="B208" s="2"/>
      <c r="C208" s="6"/>
      <c r="D208" s="1"/>
      <c r="E208" s="1"/>
      <c r="F208" s="1"/>
      <c r="G208" s="1"/>
      <c r="H208" s="1"/>
      <c r="I208" s="2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>
      <c r="A209" s="1"/>
      <c r="B209" s="2"/>
      <c r="C209" s="6"/>
      <c r="D209" s="1"/>
      <c r="E209" s="1"/>
      <c r="F209" s="1"/>
      <c r="G209" s="1"/>
      <c r="H209" s="1"/>
      <c r="I209" s="2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>
      <c r="A210" s="1"/>
      <c r="B210" s="2"/>
      <c r="C210" s="6"/>
      <c r="D210" s="1"/>
      <c r="E210" s="1"/>
      <c r="F210" s="1"/>
      <c r="G210" s="1"/>
      <c r="H210" s="1"/>
      <c r="I210" s="2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>
      <c r="A211" s="1"/>
      <c r="B211" s="2"/>
      <c r="C211" s="6"/>
      <c r="D211" s="1"/>
      <c r="E211" s="1"/>
      <c r="F211" s="1"/>
      <c r="G211" s="1"/>
      <c r="H211" s="1"/>
      <c r="I211" s="2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>
      <c r="A212" s="1"/>
      <c r="B212" s="2"/>
      <c r="C212" s="6"/>
      <c r="D212" s="1"/>
      <c r="E212" s="1"/>
      <c r="F212" s="1"/>
      <c r="G212" s="1"/>
      <c r="H212" s="1"/>
      <c r="I212" s="2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>
      <c r="A213" s="1"/>
      <c r="B213" s="2"/>
      <c r="C213" s="6"/>
      <c r="D213" s="1"/>
      <c r="E213" s="1"/>
      <c r="F213" s="1"/>
      <c r="G213" s="1"/>
      <c r="H213" s="1"/>
      <c r="I213" s="2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>
      <c r="A214" s="1"/>
      <c r="B214" s="2"/>
      <c r="C214" s="6"/>
      <c r="D214" s="1"/>
      <c r="E214" s="1"/>
      <c r="F214" s="1"/>
      <c r="G214" s="1"/>
      <c r="H214" s="1"/>
      <c r="I214" s="2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>
      <c r="A215" s="1"/>
      <c r="B215" s="2"/>
      <c r="C215" s="6"/>
      <c r="D215" s="1"/>
      <c r="E215" s="1"/>
      <c r="F215" s="1"/>
      <c r="G215" s="1"/>
      <c r="H215" s="1"/>
      <c r="I215" s="2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>
      <c r="A216" s="1"/>
      <c r="B216" s="2"/>
      <c r="C216" s="6"/>
      <c r="D216" s="1"/>
      <c r="E216" s="1"/>
      <c r="F216" s="1"/>
      <c r="G216" s="1"/>
      <c r="H216" s="1"/>
      <c r="I216" s="2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>
      <c r="A217" s="1"/>
      <c r="B217" s="2"/>
      <c r="C217" s="6"/>
      <c r="D217" s="1"/>
      <c r="E217" s="1"/>
      <c r="F217" s="1"/>
      <c r="G217" s="1"/>
      <c r="H217" s="1"/>
      <c r="I217" s="2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>
      <c r="A218" s="1"/>
      <c r="B218" s="2"/>
      <c r="C218" s="6"/>
      <c r="D218" s="1"/>
      <c r="E218" s="1"/>
      <c r="F218" s="1"/>
      <c r="G218" s="1"/>
      <c r="H218" s="1"/>
      <c r="I218" s="2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>
      <c r="A219" s="1"/>
      <c r="B219" s="2"/>
      <c r="C219" s="6"/>
      <c r="D219" s="1"/>
      <c r="E219" s="1"/>
      <c r="F219" s="1"/>
      <c r="G219" s="1"/>
      <c r="H219" s="1"/>
      <c r="I219" s="2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>
      <c r="A220" s="1"/>
      <c r="B220" s="2"/>
      <c r="C220" s="6"/>
      <c r="D220" s="1"/>
      <c r="E220" s="1"/>
      <c r="F220" s="1"/>
      <c r="G220" s="1"/>
      <c r="H220" s="1"/>
      <c r="I220" s="2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/>
    <row r="222" spans="1:25" ht="15.75" customHeight="1"/>
    <row r="223" spans="1:25" ht="15.75" customHeight="1"/>
    <row r="224" spans="1:25" ht="15.75" customHeight="1"/>
    <row r="225" customFormat="1" ht="15.75" customHeight="1"/>
    <row r="226" customFormat="1" ht="15.75" customHeight="1"/>
    <row r="227" customFormat="1" ht="15.75" customHeight="1"/>
    <row r="228" customFormat="1" ht="15.75" customHeight="1"/>
    <row r="229" customFormat="1" ht="15.75" customHeight="1"/>
    <row r="230" customFormat="1" ht="15.75" customHeight="1"/>
    <row r="231" customFormat="1" ht="15.75" customHeight="1"/>
    <row r="232" customFormat="1" ht="15.75" customHeight="1"/>
    <row r="233" customFormat="1" ht="15.75" customHeight="1"/>
    <row r="234" customFormat="1" ht="15.75" customHeight="1"/>
    <row r="235" customFormat="1" ht="15.75" customHeight="1"/>
    <row r="236" customFormat="1" ht="15.75" customHeight="1"/>
    <row r="237" customFormat="1" ht="15.75" customHeight="1"/>
    <row r="238" customFormat="1" ht="15.75" customHeight="1"/>
    <row r="239" customFormat="1" ht="15.75" customHeight="1"/>
    <row r="240" customFormat="1" ht="15.75" customHeight="1"/>
    <row r="241" customFormat="1" ht="15.75" customHeight="1"/>
    <row r="242" customFormat="1" ht="15.75" customHeight="1"/>
    <row r="243" customFormat="1" ht="15.75" customHeight="1"/>
    <row r="244" customFormat="1" ht="15.75" customHeight="1"/>
    <row r="245" customFormat="1" ht="15.75" customHeight="1"/>
    <row r="246" customFormat="1" ht="15.75" customHeight="1"/>
    <row r="247" customFormat="1" ht="15.75" customHeight="1"/>
    <row r="248" customFormat="1" ht="15.75" customHeight="1"/>
    <row r="249" customFormat="1" ht="15.75" customHeight="1"/>
    <row r="250" customFormat="1" ht="15.75" customHeight="1"/>
    <row r="251" customFormat="1" ht="15.75" customHeight="1"/>
    <row r="252" customFormat="1" ht="15.75" customHeight="1"/>
    <row r="253" customFormat="1" ht="15.75" customHeight="1"/>
    <row r="254" customFormat="1" ht="15.75" customHeight="1"/>
    <row r="255" customFormat="1" ht="15.75" customHeight="1"/>
    <row r="256" customFormat="1" ht="15.75" customHeight="1"/>
    <row r="257" customFormat="1" ht="15.75" customHeight="1"/>
    <row r="258" customFormat="1" ht="15.75" customHeight="1"/>
    <row r="259" customFormat="1" ht="15.75" customHeight="1"/>
    <row r="260" customFormat="1" ht="15.75" customHeight="1"/>
    <row r="261" customFormat="1" ht="15.75" customHeight="1"/>
    <row r="262" customFormat="1" ht="15.75" customHeight="1"/>
    <row r="263" customFormat="1" ht="15.75" customHeight="1"/>
    <row r="264" customFormat="1" ht="15.75" customHeight="1"/>
    <row r="265" customFormat="1" ht="15.75" customHeight="1"/>
    <row r="266" customFormat="1" ht="15.75" customHeight="1"/>
    <row r="267" customFormat="1" ht="15.75" customHeight="1"/>
    <row r="268" customFormat="1" ht="15.75" customHeight="1"/>
    <row r="269" customFormat="1" ht="15.75" customHeight="1"/>
    <row r="270" customFormat="1" ht="15.75" customHeight="1"/>
    <row r="271" customFormat="1" ht="15.75" customHeight="1"/>
    <row r="272" customFormat="1" ht="15.75" customHeight="1"/>
    <row r="273" customFormat="1" ht="15.75" customHeight="1"/>
    <row r="274" customFormat="1" ht="15.75" customHeight="1"/>
    <row r="275" customFormat="1" ht="15.75" customHeight="1"/>
    <row r="276" customFormat="1" ht="15.75" customHeight="1"/>
    <row r="277" customFormat="1" ht="15.75" customHeight="1"/>
    <row r="278" customFormat="1" ht="15.75" customHeight="1"/>
    <row r="279" customFormat="1" ht="15.75" customHeight="1"/>
    <row r="280" customFormat="1" ht="15.75" customHeight="1"/>
    <row r="281" customFormat="1" ht="15.75" customHeight="1"/>
    <row r="282" customFormat="1" ht="15.75" customHeight="1"/>
    <row r="283" customFormat="1" ht="15.75" customHeight="1"/>
    <row r="284" customFormat="1" ht="15.75" customHeight="1"/>
    <row r="285" customFormat="1" ht="15.75" customHeight="1"/>
    <row r="286" customFormat="1" ht="15.75" customHeight="1"/>
    <row r="287" customFormat="1" ht="15.75" customHeight="1"/>
    <row r="288" customFormat="1" ht="15.75" customHeight="1"/>
    <row r="289" customFormat="1" ht="15.75" customHeight="1"/>
    <row r="290" customFormat="1" ht="15.75" customHeight="1"/>
    <row r="291" customFormat="1" ht="15.75" customHeight="1"/>
    <row r="292" customFormat="1" ht="15.75" customHeight="1"/>
    <row r="293" customFormat="1" ht="15.75" customHeight="1"/>
    <row r="294" customFormat="1" ht="15.75" customHeight="1"/>
    <row r="295" customFormat="1" ht="15.75" customHeight="1"/>
    <row r="296" customFormat="1" ht="15.75" customHeight="1"/>
    <row r="297" customFormat="1" ht="15.75" customHeight="1"/>
    <row r="298" customFormat="1" ht="15.75" customHeight="1"/>
    <row r="299" customFormat="1" ht="15.75" customHeight="1"/>
    <row r="300" customFormat="1" ht="15.75" customHeight="1"/>
    <row r="301" customFormat="1" ht="15.75" customHeight="1"/>
    <row r="302" customFormat="1" ht="15.75" customHeight="1"/>
    <row r="303" customFormat="1" ht="15.75" customHeight="1"/>
    <row r="304" customFormat="1" ht="15.75" customHeight="1"/>
    <row r="305" customFormat="1" ht="15.75" customHeight="1"/>
    <row r="306" customFormat="1" ht="15.75" customHeight="1"/>
    <row r="307" customFormat="1" ht="15.75" customHeight="1"/>
    <row r="308" customFormat="1" ht="15.75" customHeight="1"/>
    <row r="309" customFormat="1" ht="15.75" customHeight="1"/>
    <row r="310" customFormat="1" ht="15.75" customHeight="1"/>
    <row r="311" customFormat="1" ht="15.75" customHeight="1"/>
    <row r="312" customFormat="1" ht="15.75" customHeight="1"/>
    <row r="313" customFormat="1" ht="15.75" customHeight="1"/>
    <row r="314" customFormat="1" ht="15.75" customHeight="1"/>
    <row r="315" customFormat="1" ht="15.75" customHeight="1"/>
    <row r="316" customFormat="1" ht="15.75" customHeight="1"/>
    <row r="317" customFormat="1" ht="15.75" customHeight="1"/>
    <row r="318" customFormat="1" ht="15.75" customHeight="1"/>
    <row r="319" customFormat="1" ht="15.75" customHeight="1"/>
    <row r="320" customFormat="1" ht="15.75" customHeight="1"/>
    <row r="321" customFormat="1" ht="15.75" customHeight="1"/>
    <row r="322" customFormat="1" ht="15.75" customHeight="1"/>
    <row r="323" customFormat="1" ht="15.75" customHeight="1"/>
    <row r="324" customFormat="1" ht="15.75" customHeight="1"/>
    <row r="325" customFormat="1" ht="15.75" customHeight="1"/>
    <row r="326" customFormat="1" ht="15.75" customHeight="1"/>
    <row r="327" customFormat="1" ht="15.75" customHeight="1"/>
    <row r="328" customFormat="1" ht="15.75" customHeight="1"/>
    <row r="329" customFormat="1" ht="15.75" customHeight="1"/>
    <row r="330" customFormat="1" ht="15.75" customHeight="1"/>
    <row r="331" customFormat="1" ht="15.75" customHeight="1"/>
    <row r="332" customFormat="1" ht="15.75" customHeight="1"/>
    <row r="333" customFormat="1" ht="15.75" customHeight="1"/>
    <row r="334" customFormat="1" ht="15.75" customHeight="1"/>
    <row r="335" customFormat="1" ht="15.75" customHeight="1"/>
    <row r="336" customFormat="1" ht="15.75" customHeight="1"/>
    <row r="337" customFormat="1" ht="15.75" customHeight="1"/>
    <row r="338" customFormat="1" ht="15.75" customHeight="1"/>
    <row r="339" customFormat="1" ht="15.75" customHeight="1"/>
    <row r="340" customFormat="1" ht="15.75" customHeight="1"/>
    <row r="341" customFormat="1" ht="15.75" customHeight="1"/>
    <row r="342" customFormat="1" ht="15.75" customHeight="1"/>
    <row r="343" customFormat="1" ht="15.75" customHeight="1"/>
    <row r="344" customFormat="1" ht="15.75" customHeight="1"/>
    <row r="345" customFormat="1" ht="15.75" customHeight="1"/>
    <row r="346" customFormat="1" ht="15.75" customHeight="1"/>
    <row r="347" customFormat="1" ht="15.75" customHeight="1"/>
    <row r="348" customFormat="1" ht="15.75" customHeight="1"/>
    <row r="349" customFormat="1" ht="15.75" customHeight="1"/>
    <row r="350" customFormat="1" ht="15.75" customHeight="1"/>
    <row r="351" customFormat="1" ht="15.75" customHeight="1"/>
    <row r="352" customFormat="1" ht="15.75" customHeight="1"/>
    <row r="353" customFormat="1" ht="15.75" customHeight="1"/>
    <row r="354" customFormat="1" ht="15.75" customHeight="1"/>
    <row r="355" customFormat="1" ht="15.75" customHeight="1"/>
    <row r="356" customFormat="1" ht="15.75" customHeight="1"/>
    <row r="357" customFormat="1" ht="15.75" customHeight="1"/>
    <row r="358" customFormat="1" ht="15.75" customHeight="1"/>
    <row r="359" customFormat="1" ht="15.75" customHeight="1"/>
    <row r="360" customFormat="1" ht="15.75" customHeight="1"/>
    <row r="361" customFormat="1" ht="15.75" customHeight="1"/>
    <row r="362" customFormat="1" ht="15.75" customHeight="1"/>
    <row r="363" customFormat="1" ht="15.75" customHeight="1"/>
    <row r="364" customFormat="1" ht="15.75" customHeight="1"/>
    <row r="365" customFormat="1" ht="15.75" customHeight="1"/>
    <row r="366" customFormat="1" ht="15.75" customHeight="1"/>
    <row r="367" customFormat="1" ht="15.75" customHeight="1"/>
    <row r="368" customFormat="1" ht="15.75" customHeight="1"/>
    <row r="369" customFormat="1" ht="15.75" customHeight="1"/>
    <row r="370" customFormat="1" ht="15.75" customHeight="1"/>
    <row r="371" customFormat="1" ht="15.75" customHeight="1"/>
    <row r="372" customFormat="1" ht="15.75" customHeight="1"/>
    <row r="373" customFormat="1" ht="15.75" customHeight="1"/>
    <row r="374" customFormat="1" ht="15.75" customHeight="1"/>
    <row r="375" customFormat="1" ht="15.75" customHeight="1"/>
    <row r="376" customFormat="1" ht="15.75" customHeight="1"/>
    <row r="377" customFormat="1" ht="15.75" customHeight="1"/>
    <row r="378" customFormat="1" ht="15.75" customHeight="1"/>
    <row r="379" customFormat="1" ht="15.75" customHeight="1"/>
    <row r="380" customFormat="1" ht="15.75" customHeight="1"/>
    <row r="381" customFormat="1" ht="15.75" customHeight="1"/>
    <row r="382" customFormat="1" ht="15.75" customHeight="1"/>
    <row r="383" customFormat="1" ht="15.75" customHeight="1"/>
    <row r="384" customFormat="1" ht="15.75" customHeight="1"/>
    <row r="385" customFormat="1" ht="15.75" customHeight="1"/>
    <row r="386" customFormat="1" ht="15.75" customHeight="1"/>
    <row r="387" customFormat="1" ht="15.75" customHeight="1"/>
    <row r="388" customFormat="1" ht="15.75" customHeight="1"/>
    <row r="389" customFormat="1" ht="15.75" customHeight="1"/>
    <row r="390" customFormat="1" ht="15.75" customHeight="1"/>
    <row r="391" customFormat="1" ht="15.75" customHeight="1"/>
    <row r="392" customFormat="1" ht="15.75" customHeight="1"/>
    <row r="393" customFormat="1" ht="15.75" customHeight="1"/>
    <row r="394" customFormat="1" ht="15.75" customHeight="1"/>
    <row r="395" customFormat="1" ht="15.75" customHeight="1"/>
    <row r="396" customFormat="1" ht="15.75" customHeight="1"/>
    <row r="397" customFormat="1" ht="15.75" customHeight="1"/>
    <row r="398" customFormat="1" ht="15.75" customHeight="1"/>
    <row r="399" customFormat="1" ht="15.75" customHeight="1"/>
    <row r="400" customFormat="1" ht="15.75" customHeight="1"/>
    <row r="401" customFormat="1" ht="15.75" customHeight="1"/>
    <row r="402" customFormat="1" ht="15.75" customHeight="1"/>
    <row r="403" customFormat="1" ht="15.75" customHeight="1"/>
    <row r="404" customFormat="1" ht="15.75" customHeight="1"/>
    <row r="405" customFormat="1" ht="15.75" customHeight="1"/>
    <row r="406" customFormat="1" ht="15.75" customHeight="1"/>
    <row r="407" customFormat="1" ht="15.75" customHeight="1"/>
    <row r="408" customFormat="1" ht="15.75" customHeight="1"/>
    <row r="409" customFormat="1" ht="15.75" customHeight="1"/>
    <row r="410" customFormat="1" ht="15.75" customHeight="1"/>
    <row r="411" customFormat="1" ht="15.75" customHeight="1"/>
    <row r="412" customFormat="1" ht="15.75" customHeight="1"/>
    <row r="413" customFormat="1" ht="15.75" customHeight="1"/>
    <row r="414" customFormat="1" ht="15.75" customHeight="1"/>
    <row r="415" customFormat="1" ht="15.75" customHeight="1"/>
    <row r="416" customFormat="1" ht="15.75" customHeight="1"/>
    <row r="417" customFormat="1" ht="15.75" customHeight="1"/>
    <row r="418" customFormat="1" ht="15.75" customHeight="1"/>
    <row r="419" customFormat="1" ht="15.75" customHeight="1"/>
    <row r="420" customFormat="1" ht="15.75" customHeight="1"/>
    <row r="421" customFormat="1" ht="15.75" customHeight="1"/>
    <row r="422" customFormat="1" ht="15.75" customHeight="1"/>
    <row r="423" customFormat="1" ht="15.75" customHeight="1"/>
    <row r="424" customFormat="1" ht="15.75" customHeight="1"/>
    <row r="425" customFormat="1" ht="15.75" customHeight="1"/>
    <row r="426" customFormat="1" ht="15.75" customHeight="1"/>
    <row r="427" customFormat="1" ht="15.75" customHeight="1"/>
    <row r="428" customFormat="1" ht="15.75" customHeight="1"/>
    <row r="429" customFormat="1" ht="15.75" customHeight="1"/>
    <row r="430" customFormat="1" ht="15.75" customHeight="1"/>
    <row r="431" customFormat="1" ht="15.75" customHeight="1"/>
    <row r="432" customFormat="1" ht="15.75" customHeight="1"/>
    <row r="433" customFormat="1" ht="15.75" customHeight="1"/>
    <row r="434" customFormat="1" ht="15.75" customHeight="1"/>
    <row r="435" customFormat="1" ht="15.75" customHeight="1"/>
    <row r="436" customFormat="1" ht="15.75" customHeight="1"/>
    <row r="437" customFormat="1" ht="15.75" customHeight="1"/>
    <row r="438" customFormat="1" ht="15.75" customHeight="1"/>
    <row r="439" customFormat="1" ht="15.75" customHeight="1"/>
    <row r="440" customFormat="1" ht="15.75" customHeight="1"/>
    <row r="441" customFormat="1" ht="15.75" customHeight="1"/>
    <row r="442" customFormat="1" ht="15.75" customHeight="1"/>
    <row r="443" customFormat="1" ht="15.75" customHeight="1"/>
    <row r="444" customFormat="1" ht="15.75" customHeight="1"/>
    <row r="445" customFormat="1" ht="15.75" customHeight="1"/>
    <row r="446" customFormat="1" ht="15.75" customHeight="1"/>
    <row r="447" customFormat="1" ht="15.75" customHeight="1"/>
    <row r="448" customFormat="1" ht="15.75" customHeight="1"/>
    <row r="449" customFormat="1" ht="15.75" customHeight="1"/>
    <row r="450" customFormat="1" ht="15.75" customHeight="1"/>
    <row r="451" customFormat="1" ht="15.75" customHeight="1"/>
    <row r="452" customFormat="1" ht="15.75" customHeight="1"/>
    <row r="453" customFormat="1" ht="15.75" customHeight="1"/>
    <row r="454" customFormat="1" ht="15.75" customHeight="1"/>
    <row r="455" customFormat="1" ht="15.75" customHeight="1"/>
    <row r="456" customFormat="1" ht="15.75" customHeight="1"/>
    <row r="457" customFormat="1" ht="15.75" customHeight="1"/>
    <row r="458" customFormat="1" ht="15.75" customHeight="1"/>
    <row r="459" customFormat="1" ht="15.75" customHeight="1"/>
    <row r="460" customFormat="1" ht="15.75" customHeight="1"/>
    <row r="461" customFormat="1" ht="15.75" customHeight="1"/>
    <row r="462" customFormat="1" ht="15.75" customHeight="1"/>
    <row r="463" customFormat="1" ht="15.75" customHeight="1"/>
    <row r="464" customFormat="1" ht="15.75" customHeight="1"/>
    <row r="465" customFormat="1" ht="15.75" customHeight="1"/>
    <row r="466" customFormat="1" ht="15.75" customHeight="1"/>
    <row r="467" customFormat="1" ht="15.75" customHeight="1"/>
    <row r="468" customFormat="1" ht="15.75" customHeight="1"/>
    <row r="469" customFormat="1" ht="15.75" customHeight="1"/>
    <row r="470" customFormat="1" ht="15.75" customHeight="1"/>
    <row r="471" customFormat="1" ht="15.75" customHeight="1"/>
    <row r="472" customFormat="1" ht="15.75" customHeight="1"/>
    <row r="473" customFormat="1" ht="15.75" customHeight="1"/>
    <row r="474" customFormat="1" ht="15.75" customHeight="1"/>
    <row r="475" customFormat="1" ht="15.75" customHeight="1"/>
    <row r="476" customFormat="1" ht="15.75" customHeight="1"/>
    <row r="477" customFormat="1" ht="15.75" customHeight="1"/>
    <row r="478" customFormat="1" ht="15.75" customHeight="1"/>
    <row r="479" customFormat="1" ht="15.75" customHeight="1"/>
    <row r="480" customFormat="1" ht="15.75" customHeight="1"/>
    <row r="481" customFormat="1" ht="15.75" customHeight="1"/>
    <row r="482" customFormat="1" ht="15.75" customHeight="1"/>
    <row r="483" customFormat="1" ht="15.75" customHeight="1"/>
    <row r="484" customFormat="1" ht="15.75" customHeight="1"/>
    <row r="485" customFormat="1" ht="15.75" customHeight="1"/>
    <row r="486" customFormat="1" ht="15.75" customHeight="1"/>
    <row r="487" customFormat="1" ht="15.75" customHeight="1"/>
    <row r="488" customFormat="1" ht="15.75" customHeight="1"/>
    <row r="489" customFormat="1" ht="15.75" customHeight="1"/>
    <row r="490" customFormat="1" ht="15.75" customHeight="1"/>
    <row r="491" customFormat="1" ht="15.75" customHeight="1"/>
    <row r="492" customFormat="1" ht="15.75" customHeight="1"/>
    <row r="493" customFormat="1" ht="15.75" customHeight="1"/>
    <row r="494" customFormat="1" ht="15.75" customHeight="1"/>
    <row r="495" customFormat="1" ht="15.75" customHeight="1"/>
    <row r="496" customFormat="1" ht="15.75" customHeight="1"/>
    <row r="497" customFormat="1" ht="15.75" customHeight="1"/>
    <row r="498" customFormat="1" ht="15.75" customHeight="1"/>
    <row r="499" customFormat="1" ht="15.75" customHeight="1"/>
    <row r="500" customFormat="1" ht="15.75" customHeight="1"/>
    <row r="501" customFormat="1" ht="15.75" customHeight="1"/>
    <row r="502" customFormat="1" ht="15.75" customHeight="1"/>
    <row r="503" customFormat="1" ht="15.75" customHeight="1"/>
    <row r="504" customFormat="1" ht="15.75" customHeight="1"/>
    <row r="505" customFormat="1" ht="15.75" customHeight="1"/>
    <row r="506" customFormat="1" ht="15.75" customHeight="1"/>
    <row r="507" customFormat="1" ht="15.75" customHeight="1"/>
    <row r="508" customFormat="1" ht="15.75" customHeight="1"/>
    <row r="509" customFormat="1" ht="15.75" customHeight="1"/>
    <row r="510" customFormat="1" ht="15.75" customHeight="1"/>
    <row r="511" customFormat="1" ht="15.75" customHeight="1"/>
    <row r="512" customFormat="1" ht="15.75" customHeight="1"/>
    <row r="513" customFormat="1" ht="15.75" customHeight="1"/>
    <row r="514" customFormat="1" ht="15.75" customHeight="1"/>
    <row r="515" customFormat="1" ht="15.75" customHeight="1"/>
    <row r="516" customFormat="1" ht="15.75" customHeight="1"/>
    <row r="517" customFormat="1" ht="15.75" customHeight="1"/>
    <row r="518" customFormat="1" ht="15.75" customHeight="1"/>
    <row r="519" customFormat="1" ht="15.75" customHeight="1"/>
    <row r="520" customFormat="1" ht="15.75" customHeight="1"/>
    <row r="521" customFormat="1" ht="15.75" customHeight="1"/>
    <row r="522" customFormat="1" ht="15.75" customHeight="1"/>
    <row r="523" customFormat="1" ht="15.75" customHeight="1"/>
    <row r="524" customFormat="1" ht="15.75" customHeight="1"/>
    <row r="525" customFormat="1" ht="15.75" customHeight="1"/>
    <row r="526" customFormat="1" ht="15.75" customHeight="1"/>
    <row r="527" customFormat="1" ht="15.75" customHeight="1"/>
    <row r="528" customFormat="1" ht="15.75" customHeight="1"/>
    <row r="529" customFormat="1" ht="15.75" customHeight="1"/>
    <row r="530" customFormat="1" ht="15.75" customHeight="1"/>
    <row r="531" customFormat="1" ht="15.75" customHeight="1"/>
    <row r="532" customFormat="1" ht="15.75" customHeight="1"/>
    <row r="533" customFormat="1" ht="15.75" customHeight="1"/>
    <row r="534" customFormat="1" ht="15.75" customHeight="1"/>
    <row r="535" customFormat="1" ht="15.75" customHeight="1"/>
    <row r="536" customFormat="1" ht="15.75" customHeight="1"/>
    <row r="537" customFormat="1" ht="15.75" customHeight="1"/>
    <row r="538" customFormat="1" ht="15.75" customHeight="1"/>
    <row r="539" customFormat="1" ht="15.75" customHeight="1"/>
    <row r="540" customFormat="1" ht="15.75" customHeight="1"/>
    <row r="541" customFormat="1" ht="15.75" customHeight="1"/>
    <row r="542" customFormat="1" ht="15.75" customHeight="1"/>
    <row r="543" customFormat="1" ht="15.75" customHeight="1"/>
    <row r="544" customFormat="1" ht="15.75" customHeight="1"/>
    <row r="545" customFormat="1" ht="15.75" customHeight="1"/>
    <row r="546" customFormat="1" ht="15.75" customHeight="1"/>
    <row r="547" customFormat="1" ht="15.75" customHeight="1"/>
    <row r="548" customFormat="1" ht="15.75" customHeight="1"/>
    <row r="549" customFormat="1" ht="15.75" customHeight="1"/>
    <row r="550" customFormat="1" ht="15.75" customHeight="1"/>
    <row r="551" customFormat="1" ht="15.75" customHeight="1"/>
    <row r="552" customFormat="1" ht="15.75" customHeight="1"/>
    <row r="553" customFormat="1" ht="15.75" customHeight="1"/>
    <row r="554" customFormat="1" ht="15.75" customHeight="1"/>
    <row r="555" customFormat="1" ht="15.75" customHeight="1"/>
    <row r="556" customFormat="1" ht="15.75" customHeight="1"/>
    <row r="557" customFormat="1" ht="15.75" customHeight="1"/>
    <row r="558" customFormat="1" ht="15.75" customHeight="1"/>
    <row r="559" customFormat="1" ht="15.75" customHeight="1"/>
    <row r="560" customFormat="1" ht="15.75" customHeight="1"/>
    <row r="561" customFormat="1" ht="15.75" customHeight="1"/>
    <row r="562" customFormat="1" ht="15.75" customHeight="1"/>
    <row r="563" customFormat="1" ht="15.75" customHeight="1"/>
    <row r="564" customFormat="1" ht="15.75" customHeight="1"/>
    <row r="565" customFormat="1" ht="15.75" customHeight="1"/>
    <row r="566" customFormat="1" ht="15.75" customHeight="1"/>
    <row r="567" customFormat="1" ht="15.75" customHeight="1"/>
    <row r="568" customFormat="1" ht="15.75" customHeight="1"/>
    <row r="569" customFormat="1" ht="15.75" customHeight="1"/>
    <row r="570" customFormat="1" ht="15.75" customHeight="1"/>
    <row r="571" customFormat="1" ht="15.75" customHeight="1"/>
    <row r="572" customFormat="1" ht="15.75" customHeight="1"/>
    <row r="573" customFormat="1" ht="15.75" customHeight="1"/>
    <row r="574" customFormat="1" ht="15.75" customHeight="1"/>
    <row r="575" customFormat="1" ht="15.75" customHeight="1"/>
    <row r="576" customFormat="1" ht="15.75" customHeight="1"/>
    <row r="577" customFormat="1" ht="15.75" customHeight="1"/>
    <row r="578" customFormat="1" ht="15.75" customHeight="1"/>
    <row r="579" customFormat="1" ht="15.75" customHeight="1"/>
    <row r="580" customFormat="1" ht="15.75" customHeight="1"/>
    <row r="581" customFormat="1" ht="15.75" customHeight="1"/>
    <row r="582" customFormat="1" ht="15.75" customHeight="1"/>
    <row r="583" customFormat="1" ht="15.75" customHeight="1"/>
    <row r="584" customFormat="1" ht="15.75" customHeight="1"/>
    <row r="585" customFormat="1" ht="15.75" customHeight="1"/>
    <row r="586" customFormat="1" ht="15.75" customHeight="1"/>
    <row r="587" customFormat="1" ht="15.75" customHeight="1"/>
    <row r="588" customFormat="1" ht="15.75" customHeight="1"/>
    <row r="589" customFormat="1" ht="15.75" customHeight="1"/>
    <row r="590" customFormat="1" ht="15.75" customHeight="1"/>
    <row r="591" customFormat="1" ht="15.75" customHeight="1"/>
    <row r="592" customFormat="1" ht="15.75" customHeight="1"/>
    <row r="593" customFormat="1" ht="15.75" customHeight="1"/>
    <row r="594" customFormat="1" ht="15.75" customHeight="1"/>
    <row r="595" customFormat="1" ht="15.75" customHeight="1"/>
    <row r="596" customFormat="1" ht="15.75" customHeight="1"/>
    <row r="597" customFormat="1" ht="15.75" customHeight="1"/>
    <row r="598" customFormat="1" ht="15.75" customHeight="1"/>
    <row r="599" customFormat="1" ht="15.75" customHeight="1"/>
    <row r="600" customFormat="1" ht="15.75" customHeight="1"/>
    <row r="601" customFormat="1" ht="15.75" customHeight="1"/>
    <row r="602" customFormat="1" ht="15.75" customHeight="1"/>
    <row r="603" customFormat="1" ht="15.75" customHeight="1"/>
    <row r="604" customFormat="1" ht="15.75" customHeight="1"/>
    <row r="605" customFormat="1" ht="15.75" customHeight="1"/>
    <row r="606" customFormat="1" ht="15.75" customHeight="1"/>
    <row r="607" customFormat="1" ht="15.75" customHeight="1"/>
    <row r="608" customFormat="1" ht="15.75" customHeight="1"/>
    <row r="609" customFormat="1" ht="15.75" customHeight="1"/>
    <row r="610" customFormat="1" ht="15.75" customHeight="1"/>
    <row r="611" customFormat="1" ht="15.75" customHeight="1"/>
    <row r="612" customFormat="1" ht="15.75" customHeight="1"/>
    <row r="613" customFormat="1" ht="15.75" customHeight="1"/>
    <row r="614" customFormat="1" ht="15.75" customHeight="1"/>
    <row r="615" customFormat="1" ht="15.75" customHeight="1"/>
    <row r="616" customFormat="1" ht="15.75" customHeight="1"/>
    <row r="617" customFormat="1" ht="15.75" customHeight="1"/>
    <row r="618" customFormat="1" ht="15.75" customHeight="1"/>
    <row r="619" customFormat="1" ht="15.75" customHeight="1"/>
    <row r="620" customFormat="1" ht="15.75" customHeight="1"/>
    <row r="621" customFormat="1" ht="15.75" customHeight="1"/>
    <row r="622" customFormat="1" ht="15.75" customHeight="1"/>
    <row r="623" customFormat="1" ht="15.75" customHeight="1"/>
    <row r="624" customFormat="1" ht="15.75" customHeight="1"/>
    <row r="625" customFormat="1" ht="15.75" customHeight="1"/>
    <row r="626" customFormat="1" ht="15.75" customHeight="1"/>
    <row r="627" customFormat="1" ht="15.75" customHeight="1"/>
    <row r="628" customFormat="1" ht="15.75" customHeight="1"/>
    <row r="629" customFormat="1" ht="15.75" customHeight="1"/>
    <row r="630" customFormat="1" ht="15.75" customHeight="1"/>
    <row r="631" customFormat="1" ht="15.75" customHeight="1"/>
    <row r="632" customFormat="1" ht="15.75" customHeight="1"/>
    <row r="633" customFormat="1" ht="15.75" customHeight="1"/>
    <row r="634" customFormat="1" ht="15.75" customHeight="1"/>
    <row r="635" customFormat="1" ht="15.75" customHeight="1"/>
    <row r="636" customFormat="1" ht="15.75" customHeight="1"/>
    <row r="637" customFormat="1" ht="15.75" customHeight="1"/>
    <row r="638" customFormat="1" ht="15.75" customHeight="1"/>
    <row r="639" customFormat="1" ht="15.75" customHeight="1"/>
    <row r="640" customFormat="1" ht="15.75" customHeight="1"/>
    <row r="641" customFormat="1" ht="15.75" customHeight="1"/>
    <row r="642" customFormat="1" ht="15.75" customHeight="1"/>
    <row r="643" customFormat="1" ht="15.75" customHeight="1"/>
    <row r="644" customFormat="1" ht="15.75" customHeight="1"/>
    <row r="645" customFormat="1" ht="15.75" customHeight="1"/>
    <row r="646" customFormat="1" ht="15.75" customHeight="1"/>
    <row r="647" customFormat="1" ht="15.75" customHeight="1"/>
    <row r="648" customFormat="1" ht="15.75" customHeight="1"/>
    <row r="649" customFormat="1" ht="15.75" customHeight="1"/>
    <row r="650" customFormat="1" ht="15.75" customHeight="1"/>
    <row r="651" customFormat="1" ht="15.75" customHeight="1"/>
    <row r="652" customFormat="1" ht="15.75" customHeight="1"/>
    <row r="653" customFormat="1" ht="15.75" customHeight="1"/>
    <row r="654" customFormat="1" ht="15.75" customHeight="1"/>
    <row r="655" customFormat="1" ht="15.75" customHeight="1"/>
    <row r="656" customFormat="1" ht="15.75" customHeight="1"/>
    <row r="657" customFormat="1" ht="15.75" customHeight="1"/>
    <row r="658" customFormat="1" ht="15.75" customHeight="1"/>
    <row r="659" customFormat="1" ht="15.75" customHeight="1"/>
    <row r="660" customFormat="1" ht="15.75" customHeight="1"/>
    <row r="661" customFormat="1" ht="15.75" customHeight="1"/>
    <row r="662" customFormat="1" ht="15.75" customHeight="1"/>
    <row r="663" customFormat="1" ht="15.75" customHeight="1"/>
    <row r="664" customFormat="1" ht="15.75" customHeight="1"/>
    <row r="665" customFormat="1" ht="15.75" customHeight="1"/>
    <row r="666" customFormat="1" ht="15.75" customHeight="1"/>
    <row r="667" customFormat="1" ht="15.75" customHeight="1"/>
    <row r="668" customFormat="1" ht="15.75" customHeight="1"/>
    <row r="669" customFormat="1" ht="15.75" customHeight="1"/>
    <row r="670" customFormat="1" ht="15.75" customHeight="1"/>
    <row r="671" customFormat="1" ht="15.75" customHeight="1"/>
    <row r="672" customFormat="1" ht="15.75" customHeight="1"/>
    <row r="673" customFormat="1" ht="15.75" customHeight="1"/>
    <row r="674" customFormat="1" ht="15.75" customHeight="1"/>
    <row r="675" customFormat="1" ht="15.75" customHeight="1"/>
    <row r="676" customFormat="1" ht="15.75" customHeight="1"/>
    <row r="677" customFormat="1" ht="15.75" customHeight="1"/>
    <row r="678" customFormat="1" ht="15.75" customHeight="1"/>
    <row r="679" customFormat="1" ht="15.75" customHeight="1"/>
    <row r="680" customFormat="1" ht="15.75" customHeight="1"/>
    <row r="681" customFormat="1" ht="15.75" customHeight="1"/>
    <row r="682" customFormat="1" ht="15.75" customHeight="1"/>
    <row r="683" customFormat="1" ht="15.75" customHeight="1"/>
    <row r="684" customFormat="1" ht="15.75" customHeight="1"/>
    <row r="685" customFormat="1" ht="15.75" customHeight="1"/>
    <row r="686" customFormat="1" ht="15.75" customHeight="1"/>
    <row r="687" customFormat="1" ht="15.75" customHeight="1"/>
    <row r="688" customFormat="1" ht="15.75" customHeight="1"/>
    <row r="689" customFormat="1" ht="15.75" customHeight="1"/>
    <row r="690" customFormat="1" ht="15.75" customHeight="1"/>
    <row r="691" customFormat="1" ht="15.75" customHeight="1"/>
    <row r="692" customFormat="1" ht="15.75" customHeight="1"/>
    <row r="693" customFormat="1" ht="15.75" customHeight="1"/>
    <row r="694" customFormat="1" ht="15.75" customHeight="1"/>
    <row r="695" customFormat="1" ht="15.75" customHeight="1"/>
    <row r="696" customFormat="1" ht="15.75" customHeight="1"/>
    <row r="697" customFormat="1" ht="15.75" customHeight="1"/>
    <row r="698" customFormat="1" ht="15.75" customHeight="1"/>
    <row r="699" customFormat="1" ht="15.75" customHeight="1"/>
    <row r="700" customFormat="1" ht="15.75" customHeight="1"/>
    <row r="701" customFormat="1" ht="15.75" customHeight="1"/>
    <row r="702" customFormat="1" ht="15.75" customHeight="1"/>
    <row r="703" customFormat="1" ht="15.75" customHeight="1"/>
    <row r="704" customFormat="1" ht="15.75" customHeight="1"/>
    <row r="705" customFormat="1" ht="15.75" customHeight="1"/>
    <row r="706" customFormat="1" ht="15.75" customHeight="1"/>
    <row r="707" customFormat="1" ht="15.75" customHeight="1"/>
    <row r="708" customFormat="1" ht="15.75" customHeight="1"/>
    <row r="709" customFormat="1" ht="15.75" customHeight="1"/>
    <row r="710" customFormat="1" ht="15.75" customHeight="1"/>
    <row r="711" customFormat="1" ht="15.75" customHeight="1"/>
    <row r="712" customFormat="1" ht="15.75" customHeight="1"/>
    <row r="713" customFormat="1" ht="15.75" customHeight="1"/>
    <row r="714" customFormat="1" ht="15.75" customHeight="1"/>
    <row r="715" customFormat="1" ht="15.75" customHeight="1"/>
    <row r="716" customFormat="1" ht="15.75" customHeight="1"/>
    <row r="717" customFormat="1" ht="15.75" customHeight="1"/>
    <row r="718" customFormat="1" ht="15.75" customHeight="1"/>
    <row r="719" customFormat="1" ht="15.75" customHeight="1"/>
    <row r="720" customFormat="1" ht="15.75" customHeight="1"/>
    <row r="721" customFormat="1" ht="15.75" customHeight="1"/>
    <row r="722" customFormat="1" ht="15.75" customHeight="1"/>
    <row r="723" customFormat="1" ht="15.75" customHeight="1"/>
    <row r="724" customFormat="1" ht="15.75" customHeight="1"/>
    <row r="725" customFormat="1" ht="15.75" customHeight="1"/>
    <row r="726" customFormat="1" ht="15.75" customHeight="1"/>
    <row r="727" customFormat="1" ht="15.75" customHeight="1"/>
    <row r="728" customFormat="1" ht="15.75" customHeight="1"/>
    <row r="729" customFormat="1" ht="15.75" customHeight="1"/>
    <row r="730" customFormat="1" ht="15.75" customHeight="1"/>
    <row r="731" customFormat="1" ht="15.75" customHeight="1"/>
    <row r="732" customFormat="1" ht="15.75" customHeight="1"/>
    <row r="733" customFormat="1" ht="15.75" customHeight="1"/>
    <row r="734" customFormat="1" ht="15.75" customHeight="1"/>
    <row r="735" customFormat="1" ht="15.75" customHeight="1"/>
    <row r="736" customFormat="1" ht="15.75" customHeight="1"/>
    <row r="737" customFormat="1" ht="15.75" customHeight="1"/>
    <row r="738" customFormat="1" ht="15.75" customHeight="1"/>
    <row r="739" customFormat="1" ht="15.75" customHeight="1"/>
    <row r="740" customFormat="1" ht="15.75" customHeight="1"/>
    <row r="741" customFormat="1" ht="15.75" customHeight="1"/>
    <row r="742" customFormat="1" ht="15.75" customHeight="1"/>
    <row r="743" customFormat="1" ht="15.75" customHeight="1"/>
    <row r="744" customFormat="1" ht="15.75" customHeight="1"/>
    <row r="745" customFormat="1" ht="15.75" customHeight="1"/>
    <row r="746" customFormat="1" ht="15.75" customHeight="1"/>
    <row r="747" customFormat="1" ht="15.75" customHeight="1"/>
    <row r="748" customFormat="1" ht="15.75" customHeight="1"/>
    <row r="749" customFormat="1" ht="15.75" customHeight="1"/>
    <row r="750" customFormat="1" ht="15.75" customHeight="1"/>
    <row r="751" customFormat="1" ht="15.75" customHeight="1"/>
    <row r="752" customFormat="1" ht="15.75" customHeight="1"/>
    <row r="753" customFormat="1" ht="15.75" customHeight="1"/>
    <row r="754" customFormat="1" ht="15.75" customHeight="1"/>
    <row r="755" customFormat="1" ht="15.75" customHeight="1"/>
    <row r="756" customFormat="1" ht="15.75" customHeight="1"/>
    <row r="757" customFormat="1" ht="15.75" customHeight="1"/>
    <row r="758" customFormat="1" ht="15.75" customHeight="1"/>
    <row r="759" customFormat="1" ht="15.75" customHeight="1"/>
    <row r="760" customFormat="1" ht="15.75" customHeight="1"/>
    <row r="761" customFormat="1" ht="15.75" customHeight="1"/>
    <row r="762" customFormat="1" ht="15.75" customHeight="1"/>
    <row r="763" customFormat="1" ht="15.75" customHeight="1"/>
    <row r="764" customFormat="1" ht="15.75" customHeight="1"/>
    <row r="765" customFormat="1" ht="15.75" customHeight="1"/>
    <row r="766" customFormat="1" ht="15.75" customHeight="1"/>
    <row r="767" customFormat="1" ht="15.75" customHeight="1"/>
    <row r="768" customFormat="1" ht="15.75" customHeight="1"/>
    <row r="769" customFormat="1" ht="15.75" customHeight="1"/>
    <row r="770" customFormat="1" ht="15.75" customHeight="1"/>
    <row r="771" customFormat="1" ht="15.75" customHeight="1"/>
    <row r="772" customFormat="1" ht="15.75" customHeight="1"/>
    <row r="773" customFormat="1" ht="15.75" customHeight="1"/>
    <row r="774" customFormat="1" ht="15.75" customHeight="1"/>
    <row r="775" customFormat="1" ht="15.75" customHeight="1"/>
    <row r="776" customFormat="1" ht="15.75" customHeight="1"/>
    <row r="777" customFormat="1" ht="15.75" customHeight="1"/>
    <row r="778" customFormat="1" ht="15.75" customHeight="1"/>
    <row r="779" customFormat="1" ht="15.75" customHeight="1"/>
    <row r="780" customFormat="1" ht="15.75" customHeight="1"/>
    <row r="781" customFormat="1" ht="15.75" customHeight="1"/>
    <row r="782" customFormat="1" ht="15.75" customHeight="1"/>
    <row r="783" customFormat="1" ht="15.75" customHeight="1"/>
    <row r="784" customFormat="1" ht="15.75" customHeight="1"/>
    <row r="785" customFormat="1" ht="15.75" customHeight="1"/>
    <row r="786" customFormat="1" ht="15.75" customHeight="1"/>
    <row r="787" customFormat="1" ht="15.75" customHeight="1"/>
    <row r="788" customFormat="1" ht="15.75" customHeight="1"/>
    <row r="789" customFormat="1" ht="15.75" customHeight="1"/>
    <row r="790" customFormat="1" ht="15.75" customHeight="1"/>
    <row r="791" customFormat="1" ht="15.75" customHeight="1"/>
    <row r="792" customFormat="1" ht="15.75" customHeight="1"/>
    <row r="793" customFormat="1" ht="15.75" customHeight="1"/>
    <row r="794" customFormat="1" ht="15.75" customHeight="1"/>
    <row r="795" customFormat="1" ht="15.75" customHeight="1"/>
    <row r="796" customFormat="1" ht="15.75" customHeight="1"/>
    <row r="797" customFormat="1" ht="15.75" customHeight="1"/>
    <row r="798" customFormat="1" ht="15.75" customHeight="1"/>
    <row r="799" customFormat="1" ht="15.75" customHeight="1"/>
    <row r="800" customFormat="1" ht="15.75" customHeight="1"/>
    <row r="801" customFormat="1" ht="15.75" customHeight="1"/>
    <row r="802" customFormat="1" ht="15.75" customHeight="1"/>
    <row r="803" customFormat="1" ht="15.75" customHeight="1"/>
    <row r="804" customFormat="1" ht="15.75" customHeight="1"/>
    <row r="805" customFormat="1" ht="15.75" customHeight="1"/>
    <row r="806" customFormat="1" ht="15.75" customHeight="1"/>
    <row r="807" customFormat="1" ht="15.75" customHeight="1"/>
    <row r="808" customFormat="1" ht="15.75" customHeight="1"/>
    <row r="809" customFormat="1" ht="15.75" customHeight="1"/>
    <row r="810" customFormat="1" ht="15.75" customHeight="1"/>
    <row r="811" customFormat="1" ht="15.75" customHeight="1"/>
    <row r="812" customFormat="1" ht="15.75" customHeight="1"/>
    <row r="813" customFormat="1" ht="15.75" customHeight="1"/>
    <row r="814" customFormat="1" ht="15.75" customHeight="1"/>
    <row r="815" customFormat="1" ht="15.75" customHeight="1"/>
    <row r="816" customFormat="1" ht="15.75" customHeight="1"/>
    <row r="817" customFormat="1" ht="15.75" customHeight="1"/>
    <row r="818" customFormat="1" ht="15.75" customHeight="1"/>
    <row r="819" customFormat="1" ht="15.75" customHeight="1"/>
    <row r="820" customFormat="1" ht="15.75" customHeight="1"/>
    <row r="821" customFormat="1" ht="15.75" customHeight="1"/>
    <row r="822" customFormat="1" ht="15.75" customHeight="1"/>
    <row r="823" customFormat="1" ht="15.75" customHeight="1"/>
    <row r="824" customFormat="1" ht="15.75" customHeight="1"/>
    <row r="825" customFormat="1" ht="15.75" customHeight="1"/>
    <row r="826" customFormat="1" ht="15.75" customHeight="1"/>
    <row r="827" customFormat="1" ht="15.75" customHeight="1"/>
    <row r="828" customFormat="1" ht="15.75" customHeight="1"/>
    <row r="829" customFormat="1" ht="15.75" customHeight="1"/>
    <row r="830" customFormat="1" ht="15.75" customHeight="1"/>
    <row r="831" customFormat="1" ht="15.75" customHeight="1"/>
    <row r="832" customFormat="1" ht="15.75" customHeight="1"/>
    <row r="833" customFormat="1" ht="15.75" customHeight="1"/>
    <row r="834" customFormat="1" ht="15.75" customHeight="1"/>
    <row r="835" customFormat="1" ht="15.75" customHeight="1"/>
    <row r="836" customFormat="1" ht="15.75" customHeight="1"/>
    <row r="837" customFormat="1" ht="15.75" customHeight="1"/>
    <row r="838" customFormat="1" ht="15.75" customHeight="1"/>
    <row r="839" customFormat="1" ht="15.75" customHeight="1"/>
    <row r="840" customFormat="1" ht="15.75" customHeight="1"/>
    <row r="841" customFormat="1" ht="15.75" customHeight="1"/>
    <row r="842" customFormat="1" ht="15.75" customHeight="1"/>
    <row r="843" customFormat="1" ht="15.75" customHeight="1"/>
    <row r="844" customFormat="1" ht="15.75" customHeight="1"/>
    <row r="845" customFormat="1" ht="15.75" customHeight="1"/>
    <row r="846" customFormat="1" ht="15.75" customHeight="1"/>
    <row r="847" customFormat="1" ht="15.75" customHeight="1"/>
    <row r="848" customFormat="1" ht="15.75" customHeight="1"/>
    <row r="849" customFormat="1" ht="15.75" customHeight="1"/>
    <row r="850" customFormat="1" ht="15.75" customHeight="1"/>
    <row r="851" customFormat="1" ht="15.75" customHeight="1"/>
    <row r="852" customFormat="1" ht="15.75" customHeight="1"/>
    <row r="853" customFormat="1" ht="15.75" customHeight="1"/>
    <row r="854" customFormat="1" ht="15.75" customHeight="1"/>
    <row r="855" customFormat="1" ht="15.75" customHeight="1"/>
    <row r="856" customFormat="1" ht="15.75" customHeight="1"/>
    <row r="857" customFormat="1" ht="15.75" customHeight="1"/>
    <row r="858" customFormat="1" ht="15.75" customHeight="1"/>
    <row r="859" customFormat="1" ht="15.75" customHeight="1"/>
    <row r="860" customFormat="1" ht="15.75" customHeight="1"/>
    <row r="861" customFormat="1" ht="15.75" customHeight="1"/>
    <row r="862" customFormat="1" ht="15.75" customHeight="1"/>
    <row r="863" customFormat="1" ht="15.75" customHeight="1"/>
    <row r="864" customFormat="1" ht="15.75" customHeight="1"/>
    <row r="865" customFormat="1" ht="15.75" customHeight="1"/>
    <row r="866" customFormat="1" ht="15.75" customHeight="1"/>
    <row r="867" customFormat="1" ht="15.75" customHeight="1"/>
    <row r="868" customFormat="1" ht="15.75" customHeight="1"/>
    <row r="869" customFormat="1" ht="15.75" customHeight="1"/>
    <row r="870" customFormat="1" ht="15.75" customHeight="1"/>
    <row r="871" customFormat="1" ht="15.75" customHeight="1"/>
    <row r="872" customFormat="1" ht="15.75" customHeight="1"/>
    <row r="873" customFormat="1" ht="15.75" customHeight="1"/>
    <row r="874" customFormat="1" ht="15.75" customHeight="1"/>
    <row r="875" customFormat="1" ht="15.75" customHeight="1"/>
    <row r="876" customFormat="1" ht="15.75" customHeight="1"/>
    <row r="877" customFormat="1" ht="15.75" customHeight="1"/>
    <row r="878" customFormat="1" ht="15.75" customHeight="1"/>
    <row r="879" customFormat="1" ht="15.75" customHeight="1"/>
    <row r="880" customFormat="1" ht="15.75" customHeight="1"/>
    <row r="881" customFormat="1" ht="15.75" customHeight="1"/>
    <row r="882" customFormat="1" ht="15.75" customHeight="1"/>
    <row r="883" customFormat="1" ht="15.75" customHeight="1"/>
    <row r="884" customFormat="1" ht="15.75" customHeight="1"/>
    <row r="885" customFormat="1" ht="15.75" customHeight="1"/>
    <row r="886" customFormat="1" ht="15.75" customHeight="1"/>
    <row r="887" customFormat="1" ht="15.75" customHeight="1"/>
    <row r="888" customFormat="1" ht="15.75" customHeight="1"/>
    <row r="889" customFormat="1" ht="15.75" customHeight="1"/>
    <row r="890" customFormat="1" ht="15.75" customHeight="1"/>
    <row r="891" customFormat="1" ht="15.75" customHeight="1"/>
    <row r="892" customFormat="1" ht="15.75" customHeight="1"/>
    <row r="893" customFormat="1" ht="15.75" customHeight="1"/>
    <row r="894" customFormat="1" ht="15.75" customHeight="1"/>
    <row r="895" customFormat="1" ht="15.75" customHeight="1"/>
    <row r="896" customFormat="1" ht="15.75" customHeight="1"/>
    <row r="897" customFormat="1" ht="15.75" customHeight="1"/>
    <row r="898" customFormat="1" ht="15.75" customHeight="1"/>
    <row r="899" customFormat="1" ht="15.75" customHeight="1"/>
    <row r="900" customFormat="1" ht="15.75" customHeight="1"/>
    <row r="901" customFormat="1" ht="15.75" customHeight="1"/>
    <row r="902" customFormat="1" ht="15.75" customHeight="1"/>
    <row r="903" customFormat="1" ht="15.75" customHeight="1"/>
    <row r="904" customFormat="1" ht="15.75" customHeight="1"/>
    <row r="905" customFormat="1" ht="15.75" customHeight="1"/>
    <row r="906" customFormat="1" ht="15.75" customHeight="1"/>
    <row r="907" customFormat="1" ht="15.75" customHeight="1"/>
    <row r="908" customFormat="1" ht="15.75" customHeight="1"/>
    <row r="909" customFormat="1" ht="15.75" customHeight="1"/>
    <row r="910" customFormat="1" ht="15.75" customHeight="1"/>
    <row r="911" customFormat="1" ht="15.75" customHeight="1"/>
    <row r="912" customFormat="1" ht="15.75" customHeight="1"/>
    <row r="913" customFormat="1" ht="15.75" customHeight="1"/>
    <row r="914" customFormat="1" ht="15.75" customHeight="1"/>
    <row r="915" customFormat="1" ht="15.75" customHeight="1"/>
    <row r="916" customFormat="1" ht="15.75" customHeight="1"/>
    <row r="917" customFormat="1" ht="15.75" customHeight="1"/>
    <row r="918" customFormat="1" ht="15.75" customHeight="1"/>
    <row r="919" customFormat="1" ht="15.75" customHeight="1"/>
    <row r="920" customFormat="1" ht="15.75" customHeight="1"/>
    <row r="921" customFormat="1" ht="15.75" customHeight="1"/>
    <row r="922" customFormat="1" ht="15.75" customHeight="1"/>
    <row r="923" customFormat="1" ht="15.75" customHeight="1"/>
    <row r="924" customFormat="1" ht="15.75" customHeight="1"/>
    <row r="925" customFormat="1" ht="15.75" customHeight="1"/>
    <row r="926" customFormat="1" ht="15.75" customHeight="1"/>
    <row r="927" customFormat="1" ht="15.75" customHeight="1"/>
    <row r="928" customFormat="1" ht="15.75" customHeight="1"/>
    <row r="929" customFormat="1" ht="15.75" customHeight="1"/>
    <row r="930" customFormat="1" ht="15.75" customHeight="1"/>
    <row r="931" customFormat="1" ht="15.75" customHeight="1"/>
    <row r="932" customFormat="1" ht="15.75" customHeight="1"/>
    <row r="933" customFormat="1" ht="15.75" customHeight="1"/>
    <row r="934" customFormat="1" ht="15.75" customHeight="1"/>
    <row r="935" customFormat="1" ht="15.75" customHeight="1"/>
    <row r="936" customFormat="1" ht="15.75" customHeight="1"/>
    <row r="937" customFormat="1" ht="15.75" customHeight="1"/>
    <row r="938" customFormat="1" ht="15.75" customHeight="1"/>
    <row r="939" customFormat="1" ht="15.75" customHeight="1"/>
    <row r="940" customFormat="1" ht="15.75" customHeight="1"/>
    <row r="941" customFormat="1" ht="15.75" customHeight="1"/>
    <row r="942" customFormat="1" ht="15.75" customHeight="1"/>
    <row r="943" customFormat="1" ht="15.75" customHeight="1"/>
    <row r="944" customFormat="1" ht="15.75" customHeight="1"/>
    <row r="945" customFormat="1" ht="15.75" customHeight="1"/>
    <row r="946" customFormat="1" ht="15.75" customHeight="1"/>
    <row r="947" customFormat="1" ht="15.75" customHeight="1"/>
    <row r="948" customFormat="1" ht="15.75" customHeight="1"/>
    <row r="949" customFormat="1" ht="15.75" customHeight="1"/>
    <row r="950" customFormat="1" ht="15.75" customHeight="1"/>
    <row r="951" customFormat="1" ht="15.75" customHeight="1"/>
    <row r="952" customFormat="1" ht="15.75" customHeight="1"/>
    <row r="953" customFormat="1" ht="15.75" customHeight="1"/>
    <row r="954" customFormat="1" ht="15.75" customHeight="1"/>
    <row r="955" customFormat="1" ht="15.75" customHeight="1"/>
    <row r="956" customFormat="1" ht="15.75" customHeight="1"/>
    <row r="957" customFormat="1" ht="15.75" customHeight="1"/>
    <row r="958" customFormat="1" ht="15.75" customHeight="1"/>
    <row r="959" customFormat="1" ht="15.75" customHeight="1"/>
    <row r="960" customFormat="1" ht="15.75" customHeight="1"/>
    <row r="961" customFormat="1" ht="15.75" customHeight="1"/>
    <row r="962" customFormat="1" ht="15.75" customHeight="1"/>
    <row r="963" customFormat="1" ht="15.75" customHeight="1"/>
    <row r="964" customFormat="1" ht="15.75" customHeight="1"/>
    <row r="965" customFormat="1" ht="15.75" customHeight="1"/>
    <row r="966" customFormat="1" ht="15.75" customHeight="1"/>
    <row r="967" customFormat="1" ht="15.75" customHeight="1"/>
    <row r="968" customFormat="1" ht="15.75" customHeight="1"/>
    <row r="969" customFormat="1" ht="15.75" customHeight="1"/>
    <row r="970" customFormat="1" ht="15.75" customHeight="1"/>
    <row r="971" customFormat="1" ht="15.75" customHeight="1"/>
    <row r="972" customFormat="1" ht="15.75" customHeight="1"/>
    <row r="973" customFormat="1" ht="15.75" customHeight="1"/>
    <row r="974" customFormat="1" ht="15.75" customHeight="1"/>
    <row r="975" customFormat="1" ht="15.75" customHeight="1"/>
    <row r="976" customFormat="1" ht="15.75" customHeight="1"/>
    <row r="977" customFormat="1" ht="15.75" customHeight="1"/>
    <row r="978" customFormat="1" ht="15.75" customHeight="1"/>
    <row r="979" customFormat="1" ht="15.75" customHeight="1"/>
    <row r="980" customFormat="1" ht="15.75" customHeight="1"/>
    <row r="981" customFormat="1" ht="15.75" customHeight="1"/>
    <row r="982" customFormat="1" ht="15.75" customHeight="1"/>
    <row r="983" customFormat="1" ht="15.75" customHeight="1"/>
    <row r="984" customFormat="1" ht="15.75" customHeight="1"/>
    <row r="985" customFormat="1" ht="15.75" customHeight="1"/>
    <row r="986" customFormat="1" ht="15.75" customHeight="1"/>
    <row r="987" customFormat="1" ht="15.75" customHeight="1"/>
    <row r="988" customFormat="1" ht="15.75" customHeight="1"/>
    <row r="989" customFormat="1" ht="15.75" customHeight="1"/>
    <row r="990" customFormat="1" ht="15.75" customHeight="1"/>
    <row r="991" customFormat="1" ht="15.75" customHeight="1"/>
    <row r="992" customFormat="1" ht="15.75" customHeight="1"/>
    <row r="993" customFormat="1" ht="15.75" customHeight="1"/>
    <row r="994" customFormat="1" ht="15.75" customHeight="1"/>
    <row r="995" customFormat="1" ht="15.75" customHeight="1"/>
    <row r="996" customFormat="1" ht="15.75" customHeight="1"/>
    <row r="997" customFormat="1" ht="15.75" customHeight="1"/>
    <row r="998" customFormat="1" ht="15.75" customHeight="1"/>
    <row r="999" customFormat="1" ht="15.75" customHeight="1"/>
    <row r="1000" customFormat="1" ht="15.75" customHeight="1"/>
  </sheetData>
  <sheetProtection sheet="1" objects="1" scenarios="1"/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Físicas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José Pedregal Tercero</dc:creator>
  <cp:lastModifiedBy>Diego José Pedregal Tercero</cp:lastModifiedBy>
  <dcterms:created xsi:type="dcterms:W3CDTF">2024-04-18T09:46:26Z</dcterms:created>
  <dcterms:modified xsi:type="dcterms:W3CDTF">2024-04-23T11:19:35Z</dcterms:modified>
</cp:coreProperties>
</file>