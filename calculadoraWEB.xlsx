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https://pruebasaluuclm-my.sharepoint.com/personal/diego_pedregal_uclm_es/Documents/cursoCorriente/docencia/GE/libroQuarto/"/>
    </mc:Choice>
  </mc:AlternateContent>
  <xr:revisionPtr revIDLastSave="4" documentId="8_{0CDCC24E-F33A-4DA6-B45A-9ABFA43EBE36}" xr6:coauthVersionLast="47" xr6:coauthVersionMax="47" xr10:uidLastSave="{51649BD1-62DB-4C67-A1B2-1FDCF5827A7C}"/>
  <bookViews>
    <workbookView xWindow="35250" yWindow="2550" windowWidth="7935" windowHeight="8265" xr2:uid="{00000000-000D-0000-FFFF-FFFF00000000}"/>
  </bookViews>
  <sheets>
    <sheet name="Físic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6" roundtripDataSignature="AMtx7mgBlkCD/SY0XxViK2AB1Q3JkUQVbg=="/>
    </ext>
  </extLst>
</workbook>
</file>

<file path=xl/calcChain.xml><?xml version="1.0" encoding="utf-8"?>
<calcChain xmlns="http://schemas.openxmlformats.org/spreadsheetml/2006/main">
  <c r="K8" i="1" l="1"/>
  <c r="L8" i="1" s="1"/>
  <c r="K4" i="1"/>
  <c r="L4" i="1" s="1"/>
  <c r="K5" i="1"/>
  <c r="L5" i="1" s="1"/>
  <c r="K6" i="1"/>
  <c r="L6" i="1" s="1"/>
  <c r="K7" i="1"/>
  <c r="L7" i="1" s="1"/>
  <c r="K3" i="1"/>
  <c r="L3" i="1" s="1"/>
  <c r="B3" i="1"/>
  <c r="B5" i="1" s="1"/>
  <c r="G13" i="1" s="1"/>
  <c r="H13" i="1" s="1"/>
  <c r="G9" i="1" l="1"/>
  <c r="I8" i="1" s="1"/>
  <c r="J8" i="1" s="1"/>
  <c r="L9" i="1"/>
  <c r="B4" i="1"/>
  <c r="I7" i="1" l="1"/>
  <c r="J7" i="1" s="1"/>
  <c r="I3" i="1"/>
  <c r="J3" i="1" s="1"/>
  <c r="I6" i="1"/>
  <c r="J6" i="1" s="1"/>
  <c r="I4" i="1"/>
  <c r="J4" i="1" s="1"/>
  <c r="I5" i="1"/>
  <c r="J5" i="1" s="1"/>
  <c r="J9" i="1" l="1"/>
  <c r="B6" i="1" s="1"/>
  <c r="B7" i="1" l="1"/>
  <c r="B8" i="1" s="1"/>
  <c r="B11" i="1" s="1"/>
  <c r="C11" i="1" s="1"/>
  <c r="B10" i="1" l="1"/>
  <c r="C10" i="1" s="1"/>
</calcChain>
</file>

<file path=xl/sharedStrings.xml><?xml version="1.0" encoding="utf-8"?>
<sst xmlns="http://schemas.openxmlformats.org/spreadsheetml/2006/main" count="18" uniqueCount="18">
  <si>
    <t>Tipos</t>
  </si>
  <si>
    <t>Sueldo bruto:</t>
  </si>
  <si>
    <t>Desde</t>
  </si>
  <si>
    <t>Hasta</t>
  </si>
  <si>
    <t>Sueldo bruto de verdad:</t>
  </si>
  <si>
    <t>Cotización SS empresa:</t>
  </si>
  <si>
    <t>Cotización SS trabajador:</t>
  </si>
  <si>
    <t>IRPF:</t>
  </si>
  <si>
    <t>Consumo:</t>
  </si>
  <si>
    <t>IVA y especiales:</t>
  </si>
  <si>
    <t>Otros impuestos locales:</t>
  </si>
  <si>
    <t>Base imponible aproximada:</t>
  </si>
  <si>
    <t>TOTAL IMPUESTOS Y SS:</t>
  </si>
  <si>
    <t>Sobre sueldo bruto</t>
  </si>
  <si>
    <t>Tabla IRPF 2024</t>
  </si>
  <si>
    <t>Reducción general</t>
  </si>
  <si>
    <t>Mínimo personal</t>
  </si>
  <si>
    <t>Base imponible bruta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</si>
</sst>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#,##0\ &quot;€&quot;;[Red]\-#,##0\ &quot;€&quot;"/>
    <numFmt numFmtId="164" formatCode="#,##0.00\ &quot;€&quot;"/>
    <numFmt numFmtId="165" formatCode="0.0%"/>
  </numFmts>
  <fonts count="6">
    <font>
      <sz val="12"/>
      <color theme="1"/>
      <name val="Calibri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10"/>
      <color rgb="FF000000"/>
      <name val="Helvetica Neue"/>
      <family val="2"/>
    </font>
    <font>
      <b/>
      <sz val="18"/>
      <color theme="1"/>
      <name val="Calibri"/>
      <family val="2"/>
    </font>
    <font>
      <b/>
      <sz val="16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D8D8D8"/>
        <bgColor rgb="FFD8D8D8"/>
      </patternFill>
    </fill>
    <fill>
      <patternFill patternType="solid">
        <fgColor rgb="FFF4B083"/>
        <bgColor rgb="FFF4B083"/>
      </patternFill>
    </fill>
  </fills>
  <borders count="7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dotted">
        <color rgb="FF000000"/>
      </left>
      <right style="dotted">
        <color rgb="FF000000"/>
      </right>
      <top style="thick">
        <color rgb="FF000000"/>
      </top>
      <bottom style="thick">
        <color rgb="FF000000"/>
      </bottom>
      <diagonal/>
    </border>
    <border>
      <left style="dotted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/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ck">
        <color rgb="FF000000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/>
    <xf numFmtId="164" fontId="1" fillId="2" borderId="2" xfId="0" applyNumberFormat="1" applyFont="1" applyFill="1" applyBorder="1"/>
    <xf numFmtId="165" fontId="2" fillId="2" borderId="3" xfId="0" applyNumberFormat="1" applyFont="1" applyFill="1" applyBorder="1" applyAlignment="1">
      <alignment horizontal="center"/>
    </xf>
    <xf numFmtId="0" fontId="1" fillId="0" borderId="0" xfId="0" applyFont="1"/>
    <xf numFmtId="164" fontId="1" fillId="0" borderId="0" xfId="0" applyNumberFormat="1" applyFont="1"/>
    <xf numFmtId="0" fontId="1" fillId="2" borderId="4" xfId="0" applyFont="1" applyFill="1" applyBorder="1"/>
    <xf numFmtId="165" fontId="1" fillId="2" borderId="6" xfId="0" applyNumberFormat="1" applyFont="1" applyFill="1" applyBorder="1"/>
    <xf numFmtId="0" fontId="3" fillId="0" borderId="0" xfId="0" applyFont="1"/>
    <xf numFmtId="0" fontId="2" fillId="2" borderId="4" xfId="0" applyFont="1" applyFill="1" applyBorder="1"/>
    <xf numFmtId="164" fontId="2" fillId="2" borderId="5" xfId="0" applyNumberFormat="1" applyFont="1" applyFill="1" applyBorder="1"/>
    <xf numFmtId="6" fontId="3" fillId="0" borderId="0" xfId="0" applyNumberFormat="1" applyFont="1"/>
    <xf numFmtId="9" fontId="3" fillId="0" borderId="0" xfId="0" applyNumberFormat="1" applyFont="1"/>
    <xf numFmtId="164" fontId="1" fillId="2" borderId="5" xfId="0" applyNumberFormat="1" applyFont="1" applyFill="1" applyBorder="1"/>
    <xf numFmtId="0" fontId="4" fillId="4" borderId="1" xfId="0" applyFont="1" applyFill="1" applyBorder="1"/>
    <xf numFmtId="164" fontId="4" fillId="4" borderId="2" xfId="0" applyNumberFormat="1" applyFont="1" applyFill="1" applyBorder="1"/>
    <xf numFmtId="165" fontId="4" fillId="4" borderId="3" xfId="0" applyNumberFormat="1" applyFont="1" applyFill="1" applyBorder="1"/>
    <xf numFmtId="0" fontId="5" fillId="4" borderId="1" xfId="0" applyFont="1" applyFill="1" applyBorder="1"/>
    <xf numFmtId="165" fontId="1" fillId="0" borderId="0" xfId="0" applyNumberFormat="1" applyFont="1"/>
    <xf numFmtId="164" fontId="1" fillId="3" borderId="5" xfId="0" applyNumberFormat="1" applyFont="1" applyFill="1" applyBorder="1" applyProtection="1">
      <protection locked="0"/>
    </xf>
    <xf numFmtId="165" fontId="1" fillId="3" borderId="6" xfId="0" applyNumberFormat="1" applyFont="1" applyFill="1" applyBorder="1" applyProtection="1">
      <protection locked="0"/>
    </xf>
    <xf numFmtId="165" fontId="1" fillId="2" borderId="6" xfId="0" applyNumberFormat="1" applyFont="1" applyFill="1" applyBorder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00"/>
  <sheetViews>
    <sheetView tabSelected="1" workbookViewId="0">
      <pane xSplit="3" ySplit="11" topLeftCell="E12" activePane="bottomRight" state="frozen"/>
      <selection pane="topRight" activeCell="D1" sqref="D1"/>
      <selection pane="bottomLeft" activeCell="A12" sqref="A12"/>
      <selection pane="bottomRight" activeCell="B2" sqref="B2"/>
    </sheetView>
  </sheetViews>
  <sheetFormatPr baseColWidth="10" defaultColWidth="11.125" defaultRowHeight="15" customHeight="1"/>
  <cols>
    <col min="1" max="1" width="24.125" customWidth="1"/>
    <col min="2" max="2" width="20.625" customWidth="1"/>
    <col min="3" max="3" width="12.5" customWidth="1"/>
    <col min="4" max="5" width="11" customWidth="1"/>
    <col min="6" max="6" width="24.5" customWidth="1"/>
    <col min="7" max="8" width="11" customWidth="1"/>
    <col min="9" max="9" width="13.375" customWidth="1"/>
    <col min="10" max="10" width="12.625" customWidth="1"/>
    <col min="11" max="11" width="12.125" customWidth="1"/>
    <col min="12" max="25" width="10.5" customWidth="1"/>
  </cols>
  <sheetData>
    <row r="1" spans="1:25" ht="15.75" customHeight="1">
      <c r="A1" s="1"/>
      <c r="B1" s="2"/>
      <c r="C1" s="3" t="s">
        <v>0</v>
      </c>
      <c r="D1" s="4"/>
      <c r="E1" s="4"/>
      <c r="F1" s="4" t="s">
        <v>14</v>
      </c>
      <c r="G1" s="4"/>
      <c r="H1" s="4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 ht="15.75" customHeight="1">
      <c r="A2" s="6" t="s">
        <v>1</v>
      </c>
      <c r="B2" s="19"/>
      <c r="C2" s="7"/>
      <c r="D2" s="4"/>
      <c r="E2" s="4"/>
      <c r="F2" s="8" t="s">
        <v>2</v>
      </c>
      <c r="G2" s="8" t="s">
        <v>3</v>
      </c>
      <c r="H2" s="8"/>
      <c r="I2" s="5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 ht="15.75" customHeight="1">
      <c r="A3" s="9" t="s">
        <v>4</v>
      </c>
      <c r="B3" s="10">
        <f>B2/(1-C4)</f>
        <v>0</v>
      </c>
      <c r="C3" s="7"/>
      <c r="D3" s="5"/>
      <c r="E3" s="4"/>
      <c r="F3" s="11">
        <v>0</v>
      </c>
      <c r="G3" s="11">
        <v>12450</v>
      </c>
      <c r="H3" s="12">
        <v>0.19</v>
      </c>
      <c r="I3" s="5">
        <f t="shared" ref="I3:I8" si="0">IF(G$9&gt;G3,G3-F3,MAX(G$9-F3,0))</f>
        <v>0</v>
      </c>
      <c r="J3" s="5">
        <f t="shared" ref="J3:J8" si="1">I3*H3</f>
        <v>0</v>
      </c>
      <c r="K3" s="5">
        <f t="shared" ref="K3:K8" si="2">IF(G$12&gt;G3,G3-F3,MAX(G$12-F3,0))</f>
        <v>5500</v>
      </c>
      <c r="L3" s="5">
        <f>K3*H3</f>
        <v>1045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 ht="15.75" customHeight="1">
      <c r="A4" s="6" t="s">
        <v>5</v>
      </c>
      <c r="B4" s="13">
        <f>B3-B2</f>
        <v>0</v>
      </c>
      <c r="C4" s="20">
        <v>0.23599999999999999</v>
      </c>
      <c r="D4" s="4"/>
      <c r="E4" s="4"/>
      <c r="F4" s="11">
        <v>12450</v>
      </c>
      <c r="G4" s="11">
        <v>20199</v>
      </c>
      <c r="H4" s="12">
        <v>0.24</v>
      </c>
      <c r="I4" s="5">
        <f t="shared" si="0"/>
        <v>0</v>
      </c>
      <c r="J4" s="5">
        <f t="shared" si="1"/>
        <v>0</v>
      </c>
      <c r="K4" s="5">
        <f t="shared" si="2"/>
        <v>0</v>
      </c>
      <c r="L4" s="5">
        <f t="shared" ref="L4:L8" si="3">K4*H4</f>
        <v>0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 ht="15.75" customHeight="1">
      <c r="A5" s="6" t="s">
        <v>6</v>
      </c>
      <c r="B5" s="13">
        <f>C5*B3</f>
        <v>0</v>
      </c>
      <c r="C5" s="20">
        <v>4.7E-2</v>
      </c>
      <c r="D5" s="4"/>
      <c r="E5" s="4"/>
      <c r="F5" s="11">
        <v>20200</v>
      </c>
      <c r="G5" s="11">
        <v>35199</v>
      </c>
      <c r="H5" s="12">
        <v>0.3</v>
      </c>
      <c r="I5" s="5">
        <f t="shared" si="0"/>
        <v>0</v>
      </c>
      <c r="J5" s="5">
        <f t="shared" si="1"/>
        <v>0</v>
      </c>
      <c r="K5" s="5">
        <f t="shared" si="2"/>
        <v>0</v>
      </c>
      <c r="L5" s="5">
        <f t="shared" si="3"/>
        <v>0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spans="1:25" ht="15.75" customHeight="1">
      <c r="A6" s="6" t="s">
        <v>7</v>
      </c>
      <c r="B6" s="13">
        <f>J9</f>
        <v>0</v>
      </c>
      <c r="C6" s="21"/>
      <c r="D6" s="4"/>
      <c r="E6" s="4"/>
      <c r="F6" s="11">
        <v>35200</v>
      </c>
      <c r="G6" s="11">
        <v>59999</v>
      </c>
      <c r="H6" s="12">
        <v>0.37</v>
      </c>
      <c r="I6" s="5">
        <f t="shared" si="0"/>
        <v>0</v>
      </c>
      <c r="J6" s="5">
        <f t="shared" si="1"/>
        <v>0</v>
      </c>
      <c r="K6" s="5">
        <f t="shared" si="2"/>
        <v>0</v>
      </c>
      <c r="L6" s="5">
        <f t="shared" si="3"/>
        <v>0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 spans="1:25" ht="15.75" customHeight="1">
      <c r="A7" s="6" t="s">
        <v>8</v>
      </c>
      <c r="B7" s="13">
        <f>C7*(B2-B6)</f>
        <v>0</v>
      </c>
      <c r="C7" s="20">
        <v>0.6</v>
      </c>
      <c r="D7" s="4"/>
      <c r="E7" s="4"/>
      <c r="F7" s="11">
        <v>60000</v>
      </c>
      <c r="G7" s="11">
        <v>299999</v>
      </c>
      <c r="H7" s="12">
        <v>0.45</v>
      </c>
      <c r="I7" s="5">
        <f t="shared" si="0"/>
        <v>0</v>
      </c>
      <c r="J7" s="5">
        <f t="shared" si="1"/>
        <v>0</v>
      </c>
      <c r="K7" s="5">
        <f t="shared" si="2"/>
        <v>0</v>
      </c>
      <c r="L7" s="5">
        <f t="shared" si="3"/>
        <v>0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 spans="1:25" ht="15.75" customHeight="1">
      <c r="A8" s="6" t="s">
        <v>9</v>
      </c>
      <c r="B8" s="13">
        <f>C8*B7</f>
        <v>0</v>
      </c>
      <c r="C8" s="20">
        <v>0.18</v>
      </c>
      <c r="D8" s="4"/>
      <c r="E8" s="4"/>
      <c r="F8" s="11">
        <v>300000</v>
      </c>
      <c r="G8" s="11">
        <v>100000000</v>
      </c>
      <c r="H8" s="12">
        <v>0.49</v>
      </c>
      <c r="I8" s="5">
        <f t="shared" si="0"/>
        <v>0</v>
      </c>
      <c r="J8" s="5">
        <f t="shared" si="1"/>
        <v>0</v>
      </c>
      <c r="K8" s="5">
        <f t="shared" si="2"/>
        <v>0</v>
      </c>
      <c r="L8" s="5">
        <f t="shared" si="3"/>
        <v>0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 spans="1:25" ht="15.75" customHeight="1">
      <c r="A9" s="6" t="s">
        <v>10</v>
      </c>
      <c r="B9" s="19"/>
      <c r="C9" s="7"/>
      <c r="D9" s="4"/>
      <c r="E9" s="4"/>
      <c r="F9" s="4" t="s">
        <v>11</v>
      </c>
      <c r="G9" s="5">
        <f>G13-H13</f>
        <v>-8498</v>
      </c>
      <c r="H9" s="4"/>
      <c r="I9" s="5"/>
      <c r="J9" s="5">
        <f>MAX(SUM(J3:J8)-L9, 0)</f>
        <v>0</v>
      </c>
      <c r="K9" s="5"/>
      <c r="L9" s="5">
        <f>SUM(L3:L8)</f>
        <v>1045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 spans="1:25" ht="21.75" customHeight="1">
      <c r="A10" s="14" t="s">
        <v>12</v>
      </c>
      <c r="B10" s="15">
        <f>B4+B5+B6+B8+B9</f>
        <v>0</v>
      </c>
      <c r="C10" s="16" t="e">
        <f>B10/B3</f>
        <v>#DIV/0!</v>
      </c>
      <c r="D10" s="4"/>
      <c r="E10" s="4"/>
      <c r="F10" s="4"/>
      <c r="G10" s="4"/>
      <c r="H10" s="4"/>
      <c r="I10" s="5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 spans="1:25" ht="26.25" customHeight="1">
      <c r="A11" s="17" t="s">
        <v>13</v>
      </c>
      <c r="B11" s="15">
        <f>B5+B6+B8+B9</f>
        <v>0</v>
      </c>
      <c r="C11" s="16" t="e">
        <f>B11/B2</f>
        <v>#DIV/0!</v>
      </c>
      <c r="D11" s="4"/>
      <c r="E11" s="4"/>
      <c r="F11" s="4" t="s">
        <v>15</v>
      </c>
      <c r="G11" s="4">
        <v>2000</v>
      </c>
      <c r="H11" s="4"/>
      <c r="I11" s="5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 spans="1:25" ht="15.75" customHeight="1">
      <c r="A12" s="4"/>
      <c r="B12" s="5"/>
      <c r="C12" s="18"/>
      <c r="D12" s="4"/>
      <c r="E12" s="4"/>
      <c r="F12" s="4" t="s">
        <v>16</v>
      </c>
      <c r="G12" s="4">
        <v>5500</v>
      </c>
      <c r="H12" s="4"/>
      <c r="I12" s="5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 spans="1:25" ht="15.75" customHeight="1">
      <c r="A13" s="4"/>
      <c r="B13" s="5"/>
      <c r="C13" s="18"/>
      <c r="D13" s="4"/>
      <c r="E13" s="4"/>
      <c r="F13" s="4" t="s">
        <v>17</v>
      </c>
      <c r="G13" s="5">
        <f>B2-B5-G11</f>
        <v>-2000</v>
      </c>
      <c r="H13" s="4">
        <f>IF(G13+G11&lt;14047.5,6498,IF(G13+G11&lt;19747.5,6498-1.14*(G13-14047.5+G11),0))</f>
        <v>6498</v>
      </c>
      <c r="I13" s="5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 spans="1:25" ht="15.75" customHeight="1">
      <c r="A14" s="4"/>
      <c r="B14" s="5"/>
      <c r="C14" s="18"/>
      <c r="D14" s="4"/>
      <c r="E14" s="4"/>
      <c r="F14" s="4"/>
      <c r="G14" s="4"/>
      <c r="H14" s="4"/>
      <c r="I14" s="5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 spans="1:25" ht="15.75" customHeight="1">
      <c r="A15" s="4"/>
      <c r="B15" s="5"/>
      <c r="C15" s="18"/>
      <c r="D15" s="4"/>
      <c r="E15" s="4"/>
      <c r="F15" s="4"/>
      <c r="G15" s="4"/>
      <c r="H15" s="4"/>
      <c r="I15" s="5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 spans="1:25" ht="15.75" customHeight="1">
      <c r="A16" s="4"/>
      <c r="B16" s="5"/>
      <c r="C16" s="18"/>
      <c r="D16" s="4"/>
      <c r="E16" s="4"/>
      <c r="F16" s="4"/>
      <c r="G16" s="5"/>
      <c r="H16" s="4"/>
      <c r="I16" s="5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 spans="1:25" ht="15.75" customHeight="1">
      <c r="A17" s="4"/>
      <c r="B17" s="5"/>
      <c r="C17" s="18"/>
      <c r="D17" s="4"/>
      <c r="E17" s="4"/>
      <c r="F17" s="4"/>
      <c r="G17" s="4"/>
      <c r="H17" s="4"/>
      <c r="I17" s="5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 spans="1:25" ht="15.75" customHeight="1">
      <c r="A18" s="4"/>
      <c r="B18" s="5"/>
      <c r="C18" s="18"/>
      <c r="D18" s="4"/>
      <c r="E18" s="4"/>
      <c r="F18" s="4"/>
      <c r="G18" s="4"/>
      <c r="H18" s="4"/>
      <c r="I18" s="5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 spans="1:25" ht="15.75" customHeight="1">
      <c r="A19" s="4"/>
      <c r="B19" s="5"/>
      <c r="C19" s="18"/>
      <c r="D19" s="4"/>
      <c r="E19" s="4"/>
      <c r="F19" s="4"/>
      <c r="G19" s="4"/>
      <c r="H19" s="4"/>
      <c r="I19" s="5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 spans="1:25" ht="15.75" customHeight="1">
      <c r="A20" s="4"/>
      <c r="B20" s="5"/>
      <c r="C20" s="18"/>
      <c r="D20" s="4"/>
      <c r="E20" s="4"/>
      <c r="F20" s="4"/>
      <c r="G20" s="4"/>
      <c r="H20" s="4"/>
      <c r="I20" s="5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 spans="1:25" ht="15.75" customHeight="1">
      <c r="A21" s="4"/>
      <c r="B21" s="5"/>
      <c r="C21" s="18"/>
      <c r="D21" s="4"/>
      <c r="E21" s="4"/>
      <c r="F21" s="4"/>
      <c r="G21" s="4"/>
      <c r="H21" s="4"/>
      <c r="I21" s="5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 spans="1:25" ht="15.75" customHeight="1">
      <c r="A22" s="4"/>
      <c r="B22" s="5"/>
      <c r="C22" s="18"/>
      <c r="D22" s="4"/>
      <c r="E22" s="4"/>
      <c r="F22" s="4"/>
      <c r="G22" s="4"/>
      <c r="H22" s="4"/>
      <c r="I22" s="5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 spans="1:25" ht="15.75" customHeight="1">
      <c r="A23" s="4"/>
      <c r="B23" s="5"/>
      <c r="C23" s="18"/>
      <c r="D23" s="4"/>
      <c r="E23" s="4"/>
      <c r="F23" s="4"/>
      <c r="G23" s="4"/>
      <c r="H23" s="4"/>
      <c r="I23" s="5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 spans="1:25" ht="15.75" customHeight="1">
      <c r="A24" s="4"/>
      <c r="B24" s="5"/>
      <c r="C24" s="18"/>
      <c r="D24" s="4"/>
      <c r="E24" s="4"/>
      <c r="F24" s="4"/>
      <c r="G24" s="4"/>
      <c r="H24" s="4"/>
      <c r="I24" s="5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 spans="1:25" ht="15.75" customHeight="1">
      <c r="A25" s="4"/>
      <c r="B25" s="5"/>
      <c r="C25" s="18"/>
      <c r="D25" s="4"/>
      <c r="E25" s="4"/>
      <c r="F25" s="4"/>
      <c r="G25" s="4"/>
      <c r="H25" s="4"/>
      <c r="I25" s="5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 spans="1:25" ht="15.75" customHeight="1">
      <c r="A26" s="4"/>
      <c r="B26" s="5"/>
      <c r="C26" s="18"/>
      <c r="D26" s="4"/>
      <c r="E26" s="4"/>
      <c r="F26" s="4"/>
      <c r="G26" s="4"/>
      <c r="H26" s="4"/>
      <c r="I26" s="5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 spans="1:25" ht="15.75" customHeight="1">
      <c r="A27" s="4"/>
      <c r="B27" s="5"/>
      <c r="C27" s="18"/>
      <c r="D27" s="4"/>
      <c r="E27" s="4"/>
      <c r="F27" s="4"/>
      <c r="G27" s="4"/>
      <c r="H27" s="4"/>
      <c r="I27" s="5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 spans="1:25" ht="15.75" customHeight="1">
      <c r="A28" s="4"/>
      <c r="B28" s="5"/>
      <c r="C28" s="18"/>
      <c r="D28" s="4"/>
      <c r="E28" s="4"/>
      <c r="F28" s="4"/>
      <c r="G28" s="4"/>
      <c r="H28" s="4"/>
      <c r="I28" s="5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 spans="1:25" ht="15.75" customHeight="1">
      <c r="A29" s="4"/>
      <c r="B29" s="5"/>
      <c r="C29" s="18"/>
      <c r="D29" s="4"/>
      <c r="E29" s="4"/>
      <c r="F29" s="4"/>
      <c r="G29" s="4"/>
      <c r="H29" s="4"/>
      <c r="I29" s="5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 spans="1:25" ht="15.75" customHeight="1">
      <c r="A30" s="4"/>
      <c r="B30" s="5"/>
      <c r="C30" s="18"/>
      <c r="D30" s="4"/>
      <c r="E30" s="4"/>
      <c r="F30" s="4"/>
      <c r="G30" s="4"/>
      <c r="H30" s="4"/>
      <c r="I30" s="5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 spans="1:25" ht="15.75" customHeight="1">
      <c r="A31" s="4"/>
      <c r="B31" s="5"/>
      <c r="C31" s="18"/>
      <c r="D31" s="4"/>
      <c r="E31" s="4"/>
      <c r="F31" s="4"/>
      <c r="G31" s="4"/>
      <c r="H31" s="4"/>
      <c r="I31" s="5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 spans="1:25" ht="15.75" customHeight="1">
      <c r="A32" s="4"/>
      <c r="B32" s="5"/>
      <c r="C32" s="18"/>
      <c r="D32" s="4"/>
      <c r="E32" s="4"/>
      <c r="F32" s="4"/>
      <c r="G32" s="4"/>
      <c r="H32" s="4"/>
      <c r="I32" s="5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 spans="1:25" ht="15.75" customHeight="1">
      <c r="A33" s="4"/>
      <c r="B33" s="5"/>
      <c r="C33" s="18"/>
      <c r="D33" s="4"/>
      <c r="E33" s="4"/>
      <c r="F33" s="4"/>
      <c r="G33" s="4"/>
      <c r="H33" s="4"/>
      <c r="I33" s="5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 spans="1:25" ht="15.75" customHeight="1">
      <c r="A34" s="4"/>
      <c r="B34" s="5"/>
      <c r="C34" s="18"/>
      <c r="D34" s="4"/>
      <c r="E34" s="4"/>
      <c r="F34" s="4"/>
      <c r="G34" s="4"/>
      <c r="H34" s="4"/>
      <c r="I34" s="5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 spans="1:25" ht="15.75" customHeight="1">
      <c r="A35" s="4"/>
      <c r="B35" s="5"/>
      <c r="C35" s="18"/>
      <c r="D35" s="4"/>
      <c r="E35" s="4"/>
      <c r="F35" s="4"/>
      <c r="G35" s="4"/>
      <c r="H35" s="4"/>
      <c r="I35" s="5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 spans="1:25" ht="15.75" customHeight="1">
      <c r="A36" s="4"/>
      <c r="B36" s="5"/>
      <c r="C36" s="18"/>
      <c r="D36" s="4"/>
      <c r="E36" s="4"/>
      <c r="F36" s="4"/>
      <c r="G36" s="4"/>
      <c r="H36" s="4"/>
      <c r="I36" s="5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 spans="1:25" ht="15.75" customHeight="1">
      <c r="A37" s="4"/>
      <c r="B37" s="5"/>
      <c r="C37" s="18"/>
      <c r="D37" s="4"/>
      <c r="E37" s="4"/>
      <c r="F37" s="4"/>
      <c r="G37" s="4"/>
      <c r="H37" s="4"/>
      <c r="I37" s="5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 spans="1:25" ht="15.75" customHeight="1">
      <c r="A38" s="4"/>
      <c r="B38" s="5"/>
      <c r="C38" s="18"/>
      <c r="D38" s="4"/>
      <c r="E38" s="4"/>
      <c r="F38" s="4"/>
      <c r="G38" s="4"/>
      <c r="H38" s="4"/>
      <c r="I38" s="5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 spans="1:25" ht="15.75" customHeight="1">
      <c r="A39" s="4"/>
      <c r="B39" s="5"/>
      <c r="C39" s="18"/>
      <c r="D39" s="4"/>
      <c r="E39" s="4"/>
      <c r="F39" s="4"/>
      <c r="G39" s="4"/>
      <c r="H39" s="4"/>
      <c r="I39" s="5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 spans="1:25" ht="15.75" customHeight="1">
      <c r="A40" s="4"/>
      <c r="B40" s="5"/>
      <c r="C40" s="18"/>
      <c r="D40" s="4"/>
      <c r="E40" s="4"/>
      <c r="F40" s="4"/>
      <c r="G40" s="4"/>
      <c r="H40" s="4"/>
      <c r="I40" s="5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 spans="1:25" ht="15.75" customHeight="1">
      <c r="A41" s="4"/>
      <c r="B41" s="5"/>
      <c r="C41" s="18"/>
      <c r="D41" s="4"/>
      <c r="E41" s="4"/>
      <c r="F41" s="4"/>
      <c r="G41" s="4"/>
      <c r="H41" s="4"/>
      <c r="I41" s="5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 spans="1:25" ht="15.75" customHeight="1">
      <c r="A42" s="4"/>
      <c r="B42" s="5"/>
      <c r="C42" s="18"/>
      <c r="D42" s="4"/>
      <c r="E42" s="4"/>
      <c r="F42" s="4"/>
      <c r="G42" s="4"/>
      <c r="H42" s="4"/>
      <c r="I42" s="5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 spans="1:25" ht="15.75" customHeight="1">
      <c r="A43" s="4"/>
      <c r="B43" s="5"/>
      <c r="C43" s="18"/>
      <c r="D43" s="4"/>
      <c r="E43" s="4"/>
      <c r="F43" s="4"/>
      <c r="G43" s="4"/>
      <c r="H43" s="4"/>
      <c r="I43" s="5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 spans="1:25" ht="15.75" customHeight="1">
      <c r="A44" s="4"/>
      <c r="B44" s="5"/>
      <c r="C44" s="18"/>
      <c r="D44" s="4"/>
      <c r="E44" s="4"/>
      <c r="F44" s="4"/>
      <c r="G44" s="4"/>
      <c r="H44" s="4"/>
      <c r="I44" s="5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 spans="1:25" ht="15.75" customHeight="1">
      <c r="A45" s="4"/>
      <c r="B45" s="5"/>
      <c r="C45" s="18"/>
      <c r="D45" s="4"/>
      <c r="E45" s="4"/>
      <c r="F45" s="4"/>
      <c r="G45" s="4"/>
      <c r="H45" s="4"/>
      <c r="I45" s="5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 spans="1:25" ht="15.75" customHeight="1">
      <c r="A46" s="4"/>
      <c r="B46" s="5"/>
      <c r="C46" s="18"/>
      <c r="D46" s="4"/>
      <c r="E46" s="4"/>
      <c r="F46" s="4"/>
      <c r="G46" s="4"/>
      <c r="H46" s="4"/>
      <c r="I46" s="5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 spans="1:25" ht="15.75" customHeight="1">
      <c r="A47" s="4"/>
      <c r="B47" s="5"/>
      <c r="C47" s="18"/>
      <c r="D47" s="4"/>
      <c r="E47" s="4"/>
      <c r="F47" s="4"/>
      <c r="G47" s="4"/>
      <c r="H47" s="4"/>
      <c r="I47" s="5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 spans="1:25" ht="15.75" customHeight="1">
      <c r="A48" s="4"/>
      <c r="B48" s="5"/>
      <c r="C48" s="18"/>
      <c r="D48" s="4"/>
      <c r="E48" s="4"/>
      <c r="F48" s="4"/>
      <c r="G48" s="4"/>
      <c r="H48" s="4"/>
      <c r="I48" s="5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 spans="1:25" ht="15.75" customHeight="1">
      <c r="A49" s="4"/>
      <c r="B49" s="5"/>
      <c r="C49" s="18"/>
      <c r="D49" s="4"/>
      <c r="E49" s="4"/>
      <c r="F49" s="4"/>
      <c r="G49" s="4"/>
      <c r="H49" s="4"/>
      <c r="I49" s="5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 spans="1:25" ht="15.75" customHeight="1">
      <c r="A50" s="4"/>
      <c r="B50" s="5"/>
      <c r="C50" s="18"/>
      <c r="D50" s="4"/>
      <c r="E50" s="4"/>
      <c r="F50" s="4"/>
      <c r="G50" s="4"/>
      <c r="H50" s="4"/>
      <c r="I50" s="5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 spans="1:25" ht="15.75" customHeight="1">
      <c r="A51" s="4"/>
      <c r="B51" s="5"/>
      <c r="C51" s="18"/>
      <c r="D51" s="4"/>
      <c r="E51" s="4"/>
      <c r="F51" s="4"/>
      <c r="G51" s="4"/>
      <c r="H51" s="4"/>
      <c r="I51" s="5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 spans="1:25" ht="15.75" customHeight="1">
      <c r="A52" s="4"/>
      <c r="B52" s="5"/>
      <c r="C52" s="18"/>
      <c r="D52" s="4"/>
      <c r="E52" s="4"/>
      <c r="F52" s="4"/>
      <c r="G52" s="4"/>
      <c r="H52" s="4"/>
      <c r="I52" s="5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 spans="1:25" ht="15.75" customHeight="1">
      <c r="A53" s="4"/>
      <c r="B53" s="5"/>
      <c r="C53" s="18"/>
      <c r="D53" s="4"/>
      <c r="E53" s="4"/>
      <c r="F53" s="4"/>
      <c r="G53" s="4"/>
      <c r="H53" s="4"/>
      <c r="I53" s="5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 spans="1:25" ht="15.75" customHeight="1">
      <c r="A54" s="4"/>
      <c r="B54" s="5"/>
      <c r="C54" s="18"/>
      <c r="D54" s="4"/>
      <c r="E54" s="4"/>
      <c r="F54" s="4"/>
      <c r="G54" s="4"/>
      <c r="H54" s="4"/>
      <c r="I54" s="5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 spans="1:25" ht="15.75" customHeight="1">
      <c r="A55" s="4"/>
      <c r="B55" s="5"/>
      <c r="C55" s="18"/>
      <c r="D55" s="4"/>
      <c r="E55" s="4"/>
      <c r="F55" s="4"/>
      <c r="G55" s="4"/>
      <c r="H55" s="4"/>
      <c r="I55" s="5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 spans="1:25" ht="15.75" customHeight="1">
      <c r="A56" s="4"/>
      <c r="B56" s="5"/>
      <c r="C56" s="18"/>
      <c r="D56" s="4"/>
      <c r="E56" s="4"/>
      <c r="F56" s="4"/>
      <c r="G56" s="4"/>
      <c r="H56" s="4"/>
      <c r="I56" s="5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 spans="1:25" ht="15.75" customHeight="1">
      <c r="A57" s="4"/>
      <c r="B57" s="5"/>
      <c r="C57" s="18"/>
      <c r="D57" s="4"/>
      <c r="E57" s="4"/>
      <c r="F57" s="4"/>
      <c r="G57" s="4"/>
      <c r="H57" s="4"/>
      <c r="I57" s="5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 spans="1:25" ht="15.75" customHeight="1">
      <c r="A58" s="4"/>
      <c r="B58" s="5"/>
      <c r="C58" s="18"/>
      <c r="D58" s="4"/>
      <c r="E58" s="4"/>
      <c r="F58" s="4"/>
      <c r="G58" s="4"/>
      <c r="H58" s="4"/>
      <c r="I58" s="5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 spans="1:25" ht="15.75" customHeight="1">
      <c r="A59" s="4"/>
      <c r="B59" s="5"/>
      <c r="C59" s="18"/>
      <c r="D59" s="4"/>
      <c r="E59" s="4"/>
      <c r="F59" s="4"/>
      <c r="G59" s="4"/>
      <c r="H59" s="4"/>
      <c r="I59" s="5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 spans="1:25" ht="15.75" customHeight="1">
      <c r="A60" s="4"/>
      <c r="B60" s="5"/>
      <c r="C60" s="18"/>
      <c r="D60" s="4"/>
      <c r="E60" s="4"/>
      <c r="F60" s="4"/>
      <c r="G60" s="4"/>
      <c r="H60" s="4"/>
      <c r="I60" s="5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 spans="1:25" ht="15.75" customHeight="1">
      <c r="A61" s="4"/>
      <c r="B61" s="5"/>
      <c r="C61" s="18"/>
      <c r="D61" s="4"/>
      <c r="E61" s="4"/>
      <c r="F61" s="4"/>
      <c r="G61" s="4"/>
      <c r="H61" s="4"/>
      <c r="I61" s="5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 spans="1:25" ht="15.75" customHeight="1">
      <c r="A62" s="4"/>
      <c r="B62" s="5"/>
      <c r="C62" s="18"/>
      <c r="D62" s="4"/>
      <c r="E62" s="4"/>
      <c r="F62" s="4"/>
      <c r="G62" s="4"/>
      <c r="H62" s="4"/>
      <c r="I62" s="5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 spans="1:25" ht="15.75" customHeight="1">
      <c r="A63" s="4"/>
      <c r="B63" s="5"/>
      <c r="C63" s="18"/>
      <c r="D63" s="4"/>
      <c r="E63" s="4"/>
      <c r="F63" s="4"/>
      <c r="G63" s="4"/>
      <c r="H63" s="4"/>
      <c r="I63" s="5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 spans="1:25" ht="15.75" customHeight="1">
      <c r="A64" s="4"/>
      <c r="B64" s="5"/>
      <c r="C64" s="18"/>
      <c r="D64" s="4"/>
      <c r="E64" s="4"/>
      <c r="F64" s="4"/>
      <c r="G64" s="4"/>
      <c r="H64" s="4"/>
      <c r="I64" s="5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 spans="1:25" ht="15.75" customHeight="1">
      <c r="A65" s="4"/>
      <c r="B65" s="5"/>
      <c r="C65" s="18"/>
      <c r="D65" s="4"/>
      <c r="E65" s="4"/>
      <c r="F65" s="4"/>
      <c r="G65" s="4"/>
      <c r="H65" s="4"/>
      <c r="I65" s="5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 spans="1:25" ht="15.75" customHeight="1">
      <c r="A66" s="4"/>
      <c r="B66" s="5"/>
      <c r="C66" s="18"/>
      <c r="D66" s="4"/>
      <c r="E66" s="4"/>
      <c r="F66" s="4"/>
      <c r="G66" s="4"/>
      <c r="H66" s="4"/>
      <c r="I66" s="5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 spans="1:25" ht="15.75" customHeight="1">
      <c r="A67" s="4"/>
      <c r="B67" s="5"/>
      <c r="C67" s="18"/>
      <c r="D67" s="4"/>
      <c r="E67" s="4"/>
      <c r="F67" s="4"/>
      <c r="G67" s="4"/>
      <c r="H67" s="4"/>
      <c r="I67" s="5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 spans="1:25" ht="15.75" customHeight="1">
      <c r="A68" s="4"/>
      <c r="B68" s="5"/>
      <c r="C68" s="18"/>
      <c r="D68" s="4"/>
      <c r="E68" s="4"/>
      <c r="F68" s="4"/>
      <c r="G68" s="4"/>
      <c r="H68" s="4"/>
      <c r="I68" s="5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 spans="1:25" ht="15.75" customHeight="1">
      <c r="A69" s="4"/>
      <c r="B69" s="5"/>
      <c r="C69" s="18"/>
      <c r="D69" s="4"/>
      <c r="E69" s="4"/>
      <c r="F69" s="4"/>
      <c r="G69" s="4"/>
      <c r="H69" s="4"/>
      <c r="I69" s="5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 spans="1:25" ht="15.75" customHeight="1">
      <c r="A70" s="4"/>
      <c r="B70" s="5"/>
      <c r="C70" s="18"/>
      <c r="D70" s="4"/>
      <c r="E70" s="4"/>
      <c r="F70" s="4"/>
      <c r="G70" s="4"/>
      <c r="H70" s="4"/>
      <c r="I70" s="5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 spans="1:25" ht="15.75" customHeight="1">
      <c r="A71" s="4"/>
      <c r="B71" s="5"/>
      <c r="C71" s="18"/>
      <c r="D71" s="4"/>
      <c r="E71" s="4"/>
      <c r="F71" s="4"/>
      <c r="G71" s="4"/>
      <c r="H71" s="4"/>
      <c r="I71" s="5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 spans="1:25" ht="15.75" customHeight="1">
      <c r="A72" s="4"/>
      <c r="B72" s="5"/>
      <c r="C72" s="18"/>
      <c r="D72" s="4"/>
      <c r="E72" s="4"/>
      <c r="F72" s="4"/>
      <c r="G72" s="4"/>
      <c r="H72" s="4"/>
      <c r="I72" s="5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 spans="1:25" ht="15.75" customHeight="1">
      <c r="A73" s="4"/>
      <c r="B73" s="5"/>
      <c r="C73" s="18"/>
      <c r="D73" s="4"/>
      <c r="E73" s="4"/>
      <c r="F73" s="4"/>
      <c r="G73" s="4"/>
      <c r="H73" s="4"/>
      <c r="I73" s="5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 spans="1:25" ht="15.75" customHeight="1">
      <c r="A74" s="4"/>
      <c r="B74" s="5"/>
      <c r="C74" s="18"/>
      <c r="D74" s="4"/>
      <c r="E74" s="4"/>
      <c r="F74" s="4"/>
      <c r="G74" s="4"/>
      <c r="H74" s="4"/>
      <c r="I74" s="5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 spans="1:25" ht="15.75" customHeight="1">
      <c r="A75" s="4"/>
      <c r="B75" s="5"/>
      <c r="C75" s="18"/>
      <c r="D75" s="4"/>
      <c r="E75" s="4"/>
      <c r="F75" s="4"/>
      <c r="G75" s="4"/>
      <c r="H75" s="4"/>
      <c r="I75" s="5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 spans="1:25" ht="15.75" customHeight="1">
      <c r="A76" s="4"/>
      <c r="B76" s="5"/>
      <c r="C76" s="18"/>
      <c r="D76" s="4"/>
      <c r="E76" s="4"/>
      <c r="F76" s="4"/>
      <c r="G76" s="4"/>
      <c r="H76" s="4"/>
      <c r="I76" s="5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 spans="1:25" ht="15.75" customHeight="1">
      <c r="A77" s="4"/>
      <c r="B77" s="5"/>
      <c r="C77" s="18"/>
      <c r="D77" s="4"/>
      <c r="E77" s="4"/>
      <c r="F77" s="4"/>
      <c r="G77" s="4"/>
      <c r="H77" s="4"/>
      <c r="I77" s="5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 spans="1:25" ht="15.75" customHeight="1">
      <c r="A78" s="4"/>
      <c r="B78" s="5"/>
      <c r="C78" s="18"/>
      <c r="D78" s="4"/>
      <c r="E78" s="4"/>
      <c r="F78" s="4"/>
      <c r="G78" s="4"/>
      <c r="H78" s="4"/>
      <c r="I78" s="5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 spans="1:25" ht="15.75" customHeight="1">
      <c r="A79" s="4"/>
      <c r="B79" s="5"/>
      <c r="C79" s="18"/>
      <c r="D79" s="4"/>
      <c r="E79" s="4"/>
      <c r="F79" s="4"/>
      <c r="G79" s="4"/>
      <c r="H79" s="4"/>
      <c r="I79" s="5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 spans="1:25" ht="15.75" customHeight="1">
      <c r="A80" s="4"/>
      <c r="B80" s="5"/>
      <c r="C80" s="18"/>
      <c r="D80" s="4"/>
      <c r="E80" s="4"/>
      <c r="F80" s="4"/>
      <c r="G80" s="4"/>
      <c r="H80" s="4"/>
      <c r="I80" s="5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 spans="1:25" ht="15.75" customHeight="1">
      <c r="A81" s="4"/>
      <c r="B81" s="5"/>
      <c r="C81" s="18"/>
      <c r="D81" s="4"/>
      <c r="E81" s="4"/>
      <c r="F81" s="4"/>
      <c r="G81" s="4"/>
      <c r="H81" s="4"/>
      <c r="I81" s="5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 spans="1:25" ht="15.75" customHeight="1">
      <c r="A82" s="4"/>
      <c r="B82" s="5"/>
      <c r="C82" s="18"/>
      <c r="D82" s="4"/>
      <c r="E82" s="4"/>
      <c r="F82" s="4"/>
      <c r="G82" s="4"/>
      <c r="H82" s="4"/>
      <c r="I82" s="5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 spans="1:25" ht="15.75" customHeight="1">
      <c r="A83" s="4"/>
      <c r="B83" s="5"/>
      <c r="C83" s="18"/>
      <c r="D83" s="4"/>
      <c r="E83" s="4"/>
      <c r="F83" s="4"/>
      <c r="G83" s="4"/>
      <c r="H83" s="4"/>
      <c r="I83" s="5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 spans="1:25" ht="15.75" customHeight="1">
      <c r="A84" s="4"/>
      <c r="B84" s="5"/>
      <c r="C84" s="18"/>
      <c r="D84" s="4"/>
      <c r="E84" s="4"/>
      <c r="F84" s="4"/>
      <c r="G84" s="4"/>
      <c r="H84" s="4"/>
      <c r="I84" s="5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 spans="1:25" ht="15.75" customHeight="1">
      <c r="A85" s="4"/>
      <c r="B85" s="5"/>
      <c r="C85" s="18"/>
      <c r="D85" s="4"/>
      <c r="E85" s="4"/>
      <c r="F85" s="4"/>
      <c r="G85" s="4"/>
      <c r="H85" s="4"/>
      <c r="I85" s="5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 spans="1:25" ht="15.75" customHeight="1">
      <c r="A86" s="4"/>
      <c r="B86" s="5"/>
      <c r="C86" s="18"/>
      <c r="D86" s="4"/>
      <c r="E86" s="4"/>
      <c r="F86" s="4"/>
      <c r="G86" s="4"/>
      <c r="H86" s="4"/>
      <c r="I86" s="5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 spans="1:25" ht="15.75" customHeight="1">
      <c r="A87" s="4"/>
      <c r="B87" s="5"/>
      <c r="C87" s="18"/>
      <c r="D87" s="4"/>
      <c r="E87" s="4"/>
      <c r="F87" s="4"/>
      <c r="G87" s="4"/>
      <c r="H87" s="4"/>
      <c r="I87" s="5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 spans="1:25" ht="15.75" customHeight="1">
      <c r="A88" s="4"/>
      <c r="B88" s="5"/>
      <c r="C88" s="18"/>
      <c r="D88" s="4"/>
      <c r="E88" s="4"/>
      <c r="F88" s="4"/>
      <c r="G88" s="4"/>
      <c r="H88" s="4"/>
      <c r="I88" s="5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 spans="1:25" ht="15.75" customHeight="1">
      <c r="A89" s="4"/>
      <c r="B89" s="5"/>
      <c r="C89" s="18"/>
      <c r="D89" s="4"/>
      <c r="E89" s="4"/>
      <c r="F89" s="4"/>
      <c r="G89" s="4"/>
      <c r="H89" s="4"/>
      <c r="I89" s="5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 spans="1:25" ht="15.75" customHeight="1">
      <c r="A90" s="4"/>
      <c r="B90" s="5"/>
      <c r="C90" s="18"/>
      <c r="D90" s="4"/>
      <c r="E90" s="4"/>
      <c r="F90" s="4"/>
      <c r="G90" s="4"/>
      <c r="H90" s="4"/>
      <c r="I90" s="5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 spans="1:25" ht="15.75" customHeight="1">
      <c r="A91" s="4"/>
      <c r="B91" s="5"/>
      <c r="C91" s="18"/>
      <c r="D91" s="4"/>
      <c r="E91" s="4"/>
      <c r="F91" s="4"/>
      <c r="G91" s="4"/>
      <c r="H91" s="4"/>
      <c r="I91" s="5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 spans="1:25" ht="15.75" customHeight="1">
      <c r="A92" s="4"/>
      <c r="B92" s="5"/>
      <c r="C92" s="18"/>
      <c r="D92" s="4"/>
      <c r="E92" s="4"/>
      <c r="F92" s="4"/>
      <c r="G92" s="4"/>
      <c r="H92" s="4"/>
      <c r="I92" s="5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 spans="1:25" ht="15.75" customHeight="1">
      <c r="A93" s="4"/>
      <c r="B93" s="5"/>
      <c r="C93" s="18"/>
      <c r="D93" s="4"/>
      <c r="E93" s="4"/>
      <c r="F93" s="4"/>
      <c r="G93" s="4"/>
      <c r="H93" s="4"/>
      <c r="I93" s="5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 spans="1:25" ht="15.75" customHeight="1">
      <c r="A94" s="4"/>
      <c r="B94" s="5"/>
      <c r="C94" s="18"/>
      <c r="D94" s="4"/>
      <c r="E94" s="4"/>
      <c r="F94" s="4"/>
      <c r="G94" s="4"/>
      <c r="H94" s="4"/>
      <c r="I94" s="5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 spans="1:25" ht="15.75" customHeight="1">
      <c r="A95" s="4"/>
      <c r="B95" s="5"/>
      <c r="C95" s="18"/>
      <c r="D95" s="4"/>
      <c r="E95" s="4"/>
      <c r="F95" s="4"/>
      <c r="G95" s="4"/>
      <c r="H95" s="4"/>
      <c r="I95" s="5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 spans="1:25" ht="15.75" customHeight="1">
      <c r="A96" s="4"/>
      <c r="B96" s="5"/>
      <c r="C96" s="18"/>
      <c r="D96" s="4"/>
      <c r="E96" s="4"/>
      <c r="F96" s="4"/>
      <c r="G96" s="4"/>
      <c r="H96" s="4"/>
      <c r="I96" s="5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 spans="1:25" ht="15.75" customHeight="1">
      <c r="A97" s="4"/>
      <c r="B97" s="5"/>
      <c r="C97" s="18"/>
      <c r="D97" s="4"/>
      <c r="E97" s="4"/>
      <c r="F97" s="4"/>
      <c r="G97" s="4"/>
      <c r="H97" s="4"/>
      <c r="I97" s="5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 spans="1:25" ht="15.75" customHeight="1">
      <c r="A98" s="4"/>
      <c r="B98" s="5"/>
      <c r="C98" s="18"/>
      <c r="D98" s="4"/>
      <c r="E98" s="4"/>
      <c r="F98" s="4"/>
      <c r="G98" s="4"/>
      <c r="H98" s="4"/>
      <c r="I98" s="5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 spans="1:25" ht="15.75" customHeight="1">
      <c r="A99" s="4"/>
      <c r="B99" s="5"/>
      <c r="C99" s="18"/>
      <c r="D99" s="4"/>
      <c r="E99" s="4"/>
      <c r="F99" s="4"/>
      <c r="G99" s="4"/>
      <c r="H99" s="4"/>
      <c r="I99" s="5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 spans="1:25" ht="15.75" customHeight="1">
      <c r="A100" s="4"/>
      <c r="B100" s="5"/>
      <c r="C100" s="18"/>
      <c r="D100" s="4"/>
      <c r="E100" s="4"/>
      <c r="F100" s="4"/>
      <c r="G100" s="4"/>
      <c r="H100" s="4"/>
      <c r="I100" s="5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 spans="1:25" ht="15.75" customHeight="1">
      <c r="A101" s="4"/>
      <c r="B101" s="5"/>
      <c r="C101" s="18"/>
      <c r="D101" s="4"/>
      <c r="E101" s="4"/>
      <c r="F101" s="4"/>
      <c r="G101" s="4"/>
      <c r="H101" s="4"/>
      <c r="I101" s="5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 spans="1:25" ht="15.75" customHeight="1">
      <c r="A102" s="4"/>
      <c r="B102" s="5"/>
      <c r="C102" s="18"/>
      <c r="D102" s="4"/>
      <c r="E102" s="4"/>
      <c r="F102" s="4"/>
      <c r="G102" s="4"/>
      <c r="H102" s="4"/>
      <c r="I102" s="5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 spans="1:25" ht="15.75" customHeight="1">
      <c r="A103" s="4"/>
      <c r="B103" s="5"/>
      <c r="C103" s="18"/>
      <c r="D103" s="4"/>
      <c r="E103" s="4"/>
      <c r="F103" s="4"/>
      <c r="G103" s="4"/>
      <c r="H103" s="4"/>
      <c r="I103" s="5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 spans="1:25" ht="15.75" customHeight="1">
      <c r="A104" s="4"/>
      <c r="B104" s="5"/>
      <c r="C104" s="18"/>
      <c r="D104" s="4"/>
      <c r="E104" s="4"/>
      <c r="F104" s="4"/>
      <c r="G104" s="4"/>
      <c r="H104" s="4"/>
      <c r="I104" s="5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 spans="1:25" ht="15.75" customHeight="1">
      <c r="A105" s="4"/>
      <c r="B105" s="5"/>
      <c r="C105" s="18"/>
      <c r="D105" s="4"/>
      <c r="E105" s="4"/>
      <c r="F105" s="4"/>
      <c r="G105" s="4"/>
      <c r="H105" s="4"/>
      <c r="I105" s="5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 spans="1:25" ht="15.75" customHeight="1">
      <c r="A106" s="4"/>
      <c r="B106" s="5"/>
      <c r="C106" s="18"/>
      <c r="D106" s="4"/>
      <c r="E106" s="4"/>
      <c r="F106" s="4"/>
      <c r="G106" s="4"/>
      <c r="H106" s="4"/>
      <c r="I106" s="5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 spans="1:25" ht="15.75" customHeight="1">
      <c r="A107" s="4"/>
      <c r="B107" s="5"/>
      <c r="C107" s="18"/>
      <c r="D107" s="4"/>
      <c r="E107" s="4"/>
      <c r="F107" s="4"/>
      <c r="G107" s="4"/>
      <c r="H107" s="4"/>
      <c r="I107" s="5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 spans="1:25" ht="15.75" customHeight="1">
      <c r="A108" s="4"/>
      <c r="B108" s="5"/>
      <c r="C108" s="18"/>
      <c r="D108" s="4"/>
      <c r="E108" s="4"/>
      <c r="F108" s="4"/>
      <c r="G108" s="4"/>
      <c r="H108" s="4"/>
      <c r="I108" s="5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 spans="1:25" ht="15.75" customHeight="1">
      <c r="A109" s="4"/>
      <c r="B109" s="5"/>
      <c r="C109" s="18"/>
      <c r="D109" s="4"/>
      <c r="E109" s="4"/>
      <c r="F109" s="4"/>
      <c r="G109" s="4"/>
      <c r="H109" s="4"/>
      <c r="I109" s="5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 spans="1:25" ht="15.75" customHeight="1">
      <c r="A110" s="4"/>
      <c r="B110" s="5"/>
      <c r="C110" s="18"/>
      <c r="D110" s="4"/>
      <c r="E110" s="4"/>
      <c r="F110" s="4"/>
      <c r="G110" s="4"/>
      <c r="H110" s="4"/>
      <c r="I110" s="5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 spans="1:25" ht="15.75" customHeight="1">
      <c r="A111" s="4"/>
      <c r="B111" s="5"/>
      <c r="C111" s="18"/>
      <c r="D111" s="4"/>
      <c r="E111" s="4"/>
      <c r="F111" s="4"/>
      <c r="G111" s="4"/>
      <c r="H111" s="4"/>
      <c r="I111" s="5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 spans="1:25" ht="15.75" customHeight="1">
      <c r="A112" s="4"/>
      <c r="B112" s="5"/>
      <c r="C112" s="18"/>
      <c r="D112" s="4"/>
      <c r="E112" s="4"/>
      <c r="F112" s="4"/>
      <c r="G112" s="4"/>
      <c r="H112" s="4"/>
      <c r="I112" s="5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 spans="1:25" ht="15.75" customHeight="1">
      <c r="A113" s="4"/>
      <c r="B113" s="5"/>
      <c r="C113" s="18"/>
      <c r="D113" s="4"/>
      <c r="E113" s="4"/>
      <c r="F113" s="4"/>
      <c r="G113" s="4"/>
      <c r="H113" s="4"/>
      <c r="I113" s="5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 spans="1:25" ht="15.75" customHeight="1">
      <c r="A114" s="4"/>
      <c r="B114" s="5"/>
      <c r="C114" s="18"/>
      <c r="D114" s="4"/>
      <c r="E114" s="4"/>
      <c r="F114" s="4"/>
      <c r="G114" s="4"/>
      <c r="H114" s="4"/>
      <c r="I114" s="5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 spans="1:25" ht="15.75" customHeight="1">
      <c r="A115" s="4"/>
      <c r="B115" s="5"/>
      <c r="C115" s="18"/>
      <c r="D115" s="4"/>
      <c r="E115" s="4"/>
      <c r="F115" s="4"/>
      <c r="G115" s="4"/>
      <c r="H115" s="4"/>
      <c r="I115" s="5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 spans="1:25" ht="15.75" customHeight="1">
      <c r="A116" s="4"/>
      <c r="B116" s="5"/>
      <c r="C116" s="18"/>
      <c r="D116" s="4"/>
      <c r="E116" s="4"/>
      <c r="F116" s="4"/>
      <c r="G116" s="4"/>
      <c r="H116" s="4"/>
      <c r="I116" s="5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 spans="1:25" ht="15.75" customHeight="1">
      <c r="A117" s="4"/>
      <c r="B117" s="5"/>
      <c r="C117" s="18"/>
      <c r="D117" s="4"/>
      <c r="E117" s="4"/>
      <c r="F117" s="4"/>
      <c r="G117" s="4"/>
      <c r="H117" s="4"/>
      <c r="I117" s="5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 spans="1:25" ht="15.75" customHeight="1">
      <c r="A118" s="4"/>
      <c r="B118" s="5"/>
      <c r="C118" s="18"/>
      <c r="D118" s="4"/>
      <c r="E118" s="4"/>
      <c r="F118" s="4"/>
      <c r="G118" s="4"/>
      <c r="H118" s="4"/>
      <c r="I118" s="5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 spans="1:25" ht="15.75" customHeight="1">
      <c r="A119" s="4"/>
      <c r="B119" s="5"/>
      <c r="C119" s="18"/>
      <c r="D119" s="4"/>
      <c r="E119" s="4"/>
      <c r="F119" s="4"/>
      <c r="G119" s="4"/>
      <c r="H119" s="4"/>
      <c r="I119" s="5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 spans="1:25" ht="15.75" customHeight="1">
      <c r="A120" s="4"/>
      <c r="B120" s="5"/>
      <c r="C120" s="18"/>
      <c r="D120" s="4"/>
      <c r="E120" s="4"/>
      <c r="F120" s="4"/>
      <c r="G120" s="4"/>
      <c r="H120" s="4"/>
      <c r="I120" s="5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 spans="1:25" ht="15.75" customHeight="1">
      <c r="A121" s="4"/>
      <c r="B121" s="5"/>
      <c r="C121" s="18"/>
      <c r="D121" s="4"/>
      <c r="E121" s="4"/>
      <c r="F121" s="4"/>
      <c r="G121" s="4"/>
      <c r="H121" s="4"/>
      <c r="I121" s="5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 spans="1:25" ht="15.75" customHeight="1">
      <c r="A122" s="4"/>
      <c r="B122" s="5"/>
      <c r="C122" s="18"/>
      <c r="D122" s="4"/>
      <c r="E122" s="4"/>
      <c r="F122" s="4"/>
      <c r="G122" s="4"/>
      <c r="H122" s="4"/>
      <c r="I122" s="5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 spans="1:25" ht="15.75" customHeight="1">
      <c r="A123" s="4"/>
      <c r="B123" s="5"/>
      <c r="C123" s="18"/>
      <c r="D123" s="4"/>
      <c r="E123" s="4"/>
      <c r="F123" s="4"/>
      <c r="G123" s="4"/>
      <c r="H123" s="4"/>
      <c r="I123" s="5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 spans="1:25" ht="15.75" customHeight="1">
      <c r="A124" s="4"/>
      <c r="B124" s="5"/>
      <c r="C124" s="18"/>
      <c r="D124" s="4"/>
      <c r="E124" s="4"/>
      <c r="F124" s="4"/>
      <c r="G124" s="4"/>
      <c r="H124" s="4"/>
      <c r="I124" s="5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 spans="1:25" ht="15.75" customHeight="1">
      <c r="A125" s="4"/>
      <c r="B125" s="5"/>
      <c r="C125" s="18"/>
      <c r="D125" s="4"/>
      <c r="E125" s="4"/>
      <c r="F125" s="4"/>
      <c r="G125" s="4"/>
      <c r="H125" s="4"/>
      <c r="I125" s="5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 spans="1:25" ht="15.75" customHeight="1">
      <c r="A126" s="4"/>
      <c r="B126" s="5"/>
      <c r="C126" s="18"/>
      <c r="D126" s="4"/>
      <c r="E126" s="4"/>
      <c r="F126" s="4"/>
      <c r="G126" s="4"/>
      <c r="H126" s="4"/>
      <c r="I126" s="5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 spans="1:25" ht="15.75" customHeight="1">
      <c r="A127" s="4"/>
      <c r="B127" s="5"/>
      <c r="C127" s="18"/>
      <c r="D127" s="4"/>
      <c r="E127" s="4"/>
      <c r="F127" s="4"/>
      <c r="G127" s="4"/>
      <c r="H127" s="4"/>
      <c r="I127" s="5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 spans="1:25" ht="15.75" customHeight="1">
      <c r="A128" s="4"/>
      <c r="B128" s="5"/>
      <c r="C128" s="18"/>
      <c r="D128" s="4"/>
      <c r="E128" s="4"/>
      <c r="F128" s="4"/>
      <c r="G128" s="4"/>
      <c r="H128" s="4"/>
      <c r="I128" s="5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 spans="1:25" ht="15.75" customHeight="1">
      <c r="A129" s="4"/>
      <c r="B129" s="5"/>
      <c r="C129" s="18"/>
      <c r="D129" s="4"/>
      <c r="E129" s="4"/>
      <c r="F129" s="4"/>
      <c r="G129" s="4"/>
      <c r="H129" s="4"/>
      <c r="I129" s="5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 spans="1:25" ht="15.75" customHeight="1">
      <c r="A130" s="4"/>
      <c r="B130" s="5"/>
      <c r="C130" s="18"/>
      <c r="D130" s="4"/>
      <c r="E130" s="4"/>
      <c r="F130" s="4"/>
      <c r="G130" s="4"/>
      <c r="H130" s="4"/>
      <c r="I130" s="5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 spans="1:25" ht="15.75" customHeight="1">
      <c r="A131" s="4"/>
      <c r="B131" s="5"/>
      <c r="C131" s="18"/>
      <c r="D131" s="4"/>
      <c r="E131" s="4"/>
      <c r="F131" s="4"/>
      <c r="G131" s="4"/>
      <c r="H131" s="4"/>
      <c r="I131" s="5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 spans="1:25" ht="15.75" customHeight="1">
      <c r="A132" s="4"/>
      <c r="B132" s="5"/>
      <c r="C132" s="18"/>
      <c r="D132" s="4"/>
      <c r="E132" s="4"/>
      <c r="F132" s="4"/>
      <c r="G132" s="4"/>
      <c r="H132" s="4"/>
      <c r="I132" s="5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 spans="1:25" ht="15.75" customHeight="1">
      <c r="A133" s="4"/>
      <c r="B133" s="5"/>
      <c r="C133" s="18"/>
      <c r="D133" s="4"/>
      <c r="E133" s="4"/>
      <c r="F133" s="4"/>
      <c r="G133" s="4"/>
      <c r="H133" s="4"/>
      <c r="I133" s="5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 spans="1:25" ht="15.75" customHeight="1">
      <c r="A134" s="4"/>
      <c r="B134" s="5"/>
      <c r="C134" s="18"/>
      <c r="D134" s="4"/>
      <c r="E134" s="4"/>
      <c r="F134" s="4"/>
      <c r="G134" s="4"/>
      <c r="H134" s="4"/>
      <c r="I134" s="5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 spans="1:25" ht="15.75" customHeight="1">
      <c r="A135" s="4"/>
      <c r="B135" s="5"/>
      <c r="C135" s="18"/>
      <c r="D135" s="4"/>
      <c r="E135" s="4"/>
      <c r="F135" s="4"/>
      <c r="G135" s="4"/>
      <c r="H135" s="4"/>
      <c r="I135" s="5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 spans="1:25" ht="15.75" customHeight="1">
      <c r="A136" s="4"/>
      <c r="B136" s="5"/>
      <c r="C136" s="18"/>
      <c r="D136" s="4"/>
      <c r="E136" s="4"/>
      <c r="F136" s="4"/>
      <c r="G136" s="4"/>
      <c r="H136" s="4"/>
      <c r="I136" s="5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 spans="1:25" ht="15.75" customHeight="1">
      <c r="A137" s="4"/>
      <c r="B137" s="5"/>
      <c r="C137" s="18"/>
      <c r="D137" s="4"/>
      <c r="E137" s="4"/>
      <c r="F137" s="4"/>
      <c r="G137" s="4"/>
      <c r="H137" s="4"/>
      <c r="I137" s="5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 spans="1:25" ht="15.75" customHeight="1">
      <c r="A138" s="4"/>
      <c r="B138" s="5"/>
      <c r="C138" s="18"/>
      <c r="D138" s="4"/>
      <c r="E138" s="4"/>
      <c r="F138" s="4"/>
      <c r="G138" s="4"/>
      <c r="H138" s="4"/>
      <c r="I138" s="5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 spans="1:25" ht="15.75" customHeight="1">
      <c r="A139" s="4"/>
      <c r="B139" s="5"/>
      <c r="C139" s="18"/>
      <c r="D139" s="4"/>
      <c r="E139" s="4"/>
      <c r="F139" s="4"/>
      <c r="G139" s="4"/>
      <c r="H139" s="4"/>
      <c r="I139" s="5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 spans="1:25" ht="15.75" customHeight="1">
      <c r="A140" s="4"/>
      <c r="B140" s="5"/>
      <c r="C140" s="18"/>
      <c r="D140" s="4"/>
      <c r="E140" s="4"/>
      <c r="F140" s="4"/>
      <c r="G140" s="4"/>
      <c r="H140" s="4"/>
      <c r="I140" s="5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 spans="1:25" ht="15.75" customHeight="1">
      <c r="A141" s="4"/>
      <c r="B141" s="5"/>
      <c r="C141" s="18"/>
      <c r="D141" s="4"/>
      <c r="E141" s="4"/>
      <c r="F141" s="4"/>
      <c r="G141" s="4"/>
      <c r="H141" s="4"/>
      <c r="I141" s="5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 spans="1:25" ht="15.75" customHeight="1">
      <c r="A142" s="4"/>
      <c r="B142" s="5"/>
      <c r="C142" s="18"/>
      <c r="D142" s="4"/>
      <c r="E142" s="4"/>
      <c r="F142" s="4"/>
      <c r="G142" s="4"/>
      <c r="H142" s="4"/>
      <c r="I142" s="5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 spans="1:25" ht="15.75" customHeight="1">
      <c r="A143" s="4"/>
      <c r="B143" s="5"/>
      <c r="C143" s="18"/>
      <c r="D143" s="4"/>
      <c r="E143" s="4"/>
      <c r="F143" s="4"/>
      <c r="G143" s="4"/>
      <c r="H143" s="4"/>
      <c r="I143" s="5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 spans="1:25" ht="15.75" customHeight="1">
      <c r="A144" s="4"/>
      <c r="B144" s="5"/>
      <c r="C144" s="18"/>
      <c r="D144" s="4"/>
      <c r="E144" s="4"/>
      <c r="F144" s="4"/>
      <c r="G144" s="4"/>
      <c r="H144" s="4"/>
      <c r="I144" s="5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 spans="1:25" ht="15.75" customHeight="1">
      <c r="A145" s="4"/>
      <c r="B145" s="5"/>
      <c r="C145" s="18"/>
      <c r="D145" s="4"/>
      <c r="E145" s="4"/>
      <c r="F145" s="4"/>
      <c r="G145" s="4"/>
      <c r="H145" s="4"/>
      <c r="I145" s="5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 spans="1:25" ht="15.75" customHeight="1">
      <c r="A146" s="4"/>
      <c r="B146" s="5"/>
      <c r="C146" s="18"/>
      <c r="D146" s="4"/>
      <c r="E146" s="4"/>
      <c r="F146" s="4"/>
      <c r="G146" s="4"/>
      <c r="H146" s="4"/>
      <c r="I146" s="5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 spans="1:25" ht="15.75" customHeight="1">
      <c r="A147" s="4"/>
      <c r="B147" s="5"/>
      <c r="C147" s="18"/>
      <c r="D147" s="4"/>
      <c r="E147" s="4"/>
      <c r="F147" s="4"/>
      <c r="G147" s="4"/>
      <c r="H147" s="4"/>
      <c r="I147" s="5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 spans="1:25" ht="15.75" customHeight="1">
      <c r="A148" s="4"/>
      <c r="B148" s="5"/>
      <c r="C148" s="18"/>
      <c r="D148" s="4"/>
      <c r="E148" s="4"/>
      <c r="F148" s="4"/>
      <c r="G148" s="4"/>
      <c r="H148" s="4"/>
      <c r="I148" s="5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 spans="1:25" ht="15.75" customHeight="1">
      <c r="A149" s="4"/>
      <c r="B149" s="5"/>
      <c r="C149" s="18"/>
      <c r="D149" s="4"/>
      <c r="E149" s="4"/>
      <c r="F149" s="4"/>
      <c r="G149" s="4"/>
      <c r="H149" s="4"/>
      <c r="I149" s="5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 spans="1:25" ht="15.75" customHeight="1">
      <c r="A150" s="4"/>
      <c r="B150" s="5"/>
      <c r="C150" s="18"/>
      <c r="D150" s="4"/>
      <c r="E150" s="4"/>
      <c r="F150" s="4"/>
      <c r="G150" s="4"/>
      <c r="H150" s="4"/>
      <c r="I150" s="5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 spans="1:25" ht="15.75" customHeight="1">
      <c r="A151" s="4"/>
      <c r="B151" s="5"/>
      <c r="C151" s="18"/>
      <c r="D151" s="4"/>
      <c r="E151" s="4"/>
      <c r="F151" s="4"/>
      <c r="G151" s="4"/>
      <c r="H151" s="4"/>
      <c r="I151" s="5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 spans="1:25" ht="15.75" customHeight="1">
      <c r="A152" s="4"/>
      <c r="B152" s="5"/>
      <c r="C152" s="18"/>
      <c r="D152" s="4"/>
      <c r="E152" s="4"/>
      <c r="F152" s="4"/>
      <c r="G152" s="4"/>
      <c r="H152" s="4"/>
      <c r="I152" s="5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 spans="1:25" ht="15.75" customHeight="1">
      <c r="A153" s="4"/>
      <c r="B153" s="5"/>
      <c r="C153" s="18"/>
      <c r="D153" s="4"/>
      <c r="E153" s="4"/>
      <c r="F153" s="4"/>
      <c r="G153" s="4"/>
      <c r="H153" s="4"/>
      <c r="I153" s="5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 spans="1:25" ht="15.75" customHeight="1">
      <c r="A154" s="4"/>
      <c r="B154" s="5"/>
      <c r="C154" s="18"/>
      <c r="D154" s="4"/>
      <c r="E154" s="4"/>
      <c r="F154" s="4"/>
      <c r="G154" s="4"/>
      <c r="H154" s="4"/>
      <c r="I154" s="5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 spans="1:25" ht="15.75" customHeight="1">
      <c r="A155" s="4"/>
      <c r="B155" s="5"/>
      <c r="C155" s="18"/>
      <c r="D155" s="4"/>
      <c r="E155" s="4"/>
      <c r="F155" s="4"/>
      <c r="G155" s="4"/>
      <c r="H155" s="4"/>
      <c r="I155" s="5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 spans="1:25" ht="15.75" customHeight="1">
      <c r="A156" s="4"/>
      <c r="B156" s="5"/>
      <c r="C156" s="18"/>
      <c r="D156" s="4"/>
      <c r="E156" s="4"/>
      <c r="F156" s="4"/>
      <c r="G156" s="4"/>
      <c r="H156" s="4"/>
      <c r="I156" s="5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 spans="1:25" ht="15.75" customHeight="1">
      <c r="A157" s="4"/>
      <c r="B157" s="5"/>
      <c r="C157" s="18"/>
      <c r="D157" s="4"/>
      <c r="E157" s="4"/>
      <c r="F157" s="4"/>
      <c r="G157" s="4"/>
      <c r="H157" s="4"/>
      <c r="I157" s="5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 spans="1:25" ht="15.75" customHeight="1">
      <c r="A158" s="4"/>
      <c r="B158" s="5"/>
      <c r="C158" s="18"/>
      <c r="D158" s="4"/>
      <c r="E158" s="4"/>
      <c r="F158" s="4"/>
      <c r="G158" s="4"/>
      <c r="H158" s="4"/>
      <c r="I158" s="5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 spans="1:25" ht="15.75" customHeight="1">
      <c r="A159" s="4"/>
      <c r="B159" s="5"/>
      <c r="C159" s="18"/>
      <c r="D159" s="4"/>
      <c r="E159" s="4"/>
      <c r="F159" s="4"/>
      <c r="G159" s="4"/>
      <c r="H159" s="4"/>
      <c r="I159" s="5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 spans="1:25" ht="15.75" customHeight="1">
      <c r="A160" s="4"/>
      <c r="B160" s="5"/>
      <c r="C160" s="18"/>
      <c r="D160" s="4"/>
      <c r="E160" s="4"/>
      <c r="F160" s="4"/>
      <c r="G160" s="4"/>
      <c r="H160" s="4"/>
      <c r="I160" s="5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 spans="1:25" ht="15.75" customHeight="1">
      <c r="A161" s="4"/>
      <c r="B161" s="5"/>
      <c r="C161" s="18"/>
      <c r="D161" s="4"/>
      <c r="E161" s="4"/>
      <c r="F161" s="4"/>
      <c r="G161" s="4"/>
      <c r="H161" s="4"/>
      <c r="I161" s="5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 spans="1:25" ht="15.75" customHeight="1">
      <c r="A162" s="4"/>
      <c r="B162" s="5"/>
      <c r="C162" s="18"/>
      <c r="D162" s="4"/>
      <c r="E162" s="4"/>
      <c r="F162" s="4"/>
      <c r="G162" s="4"/>
      <c r="H162" s="4"/>
      <c r="I162" s="5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 spans="1:25" ht="15.75" customHeight="1">
      <c r="A163" s="4"/>
      <c r="B163" s="5"/>
      <c r="C163" s="18"/>
      <c r="D163" s="4"/>
      <c r="E163" s="4"/>
      <c r="F163" s="4"/>
      <c r="G163" s="4"/>
      <c r="H163" s="4"/>
      <c r="I163" s="5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 spans="1:25" ht="15.75" customHeight="1">
      <c r="A164" s="4"/>
      <c r="B164" s="5"/>
      <c r="C164" s="18"/>
      <c r="D164" s="4"/>
      <c r="E164" s="4"/>
      <c r="F164" s="4"/>
      <c r="G164" s="4"/>
      <c r="H164" s="4"/>
      <c r="I164" s="5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 spans="1:25" ht="15.75" customHeight="1">
      <c r="A165" s="4"/>
      <c r="B165" s="5"/>
      <c r="C165" s="18"/>
      <c r="D165" s="4"/>
      <c r="E165" s="4"/>
      <c r="F165" s="4"/>
      <c r="G165" s="4"/>
      <c r="H165" s="4"/>
      <c r="I165" s="5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 spans="1:25" ht="15.75" customHeight="1">
      <c r="A166" s="4"/>
      <c r="B166" s="5"/>
      <c r="C166" s="18"/>
      <c r="D166" s="4"/>
      <c r="E166" s="4"/>
      <c r="F166" s="4"/>
      <c r="G166" s="4"/>
      <c r="H166" s="4"/>
      <c r="I166" s="5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 spans="1:25" ht="15.75" customHeight="1">
      <c r="A167" s="4"/>
      <c r="B167" s="5"/>
      <c r="C167" s="18"/>
      <c r="D167" s="4"/>
      <c r="E167" s="4"/>
      <c r="F167" s="4"/>
      <c r="G167" s="4"/>
      <c r="H167" s="4"/>
      <c r="I167" s="5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 spans="1:25" ht="15.75" customHeight="1">
      <c r="A168" s="4"/>
      <c r="B168" s="5"/>
      <c r="C168" s="18"/>
      <c r="D168" s="4"/>
      <c r="E168" s="4"/>
      <c r="F168" s="4"/>
      <c r="G168" s="4"/>
      <c r="H168" s="4"/>
      <c r="I168" s="5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 spans="1:25" ht="15.75" customHeight="1">
      <c r="A169" s="4"/>
      <c r="B169" s="5"/>
      <c r="C169" s="18"/>
      <c r="D169" s="4"/>
      <c r="E169" s="4"/>
      <c r="F169" s="4"/>
      <c r="G169" s="4"/>
      <c r="H169" s="4"/>
      <c r="I169" s="5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 spans="1:25" ht="15.75" customHeight="1">
      <c r="A170" s="4"/>
      <c r="B170" s="5"/>
      <c r="C170" s="18"/>
      <c r="D170" s="4"/>
      <c r="E170" s="4"/>
      <c r="F170" s="4"/>
      <c r="G170" s="4"/>
      <c r="H170" s="4"/>
      <c r="I170" s="5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 spans="1:25" ht="15.75" customHeight="1">
      <c r="A171" s="4"/>
      <c r="B171" s="5"/>
      <c r="C171" s="18"/>
      <c r="D171" s="4"/>
      <c r="E171" s="4"/>
      <c r="F171" s="4"/>
      <c r="G171" s="4"/>
      <c r="H171" s="4"/>
      <c r="I171" s="5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 spans="1:25" ht="15.75" customHeight="1">
      <c r="A172" s="4"/>
      <c r="B172" s="5"/>
      <c r="C172" s="18"/>
      <c r="D172" s="4"/>
      <c r="E172" s="4"/>
      <c r="F172" s="4"/>
      <c r="G172" s="4"/>
      <c r="H172" s="4"/>
      <c r="I172" s="5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 spans="1:25" ht="15.75" customHeight="1">
      <c r="A173" s="4"/>
      <c r="B173" s="5"/>
      <c r="C173" s="18"/>
      <c r="D173" s="4"/>
      <c r="E173" s="4"/>
      <c r="F173" s="4"/>
      <c r="G173" s="4"/>
      <c r="H173" s="4"/>
      <c r="I173" s="5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 spans="1:25" ht="15.75" customHeight="1">
      <c r="A174" s="4"/>
      <c r="B174" s="5"/>
      <c r="C174" s="18"/>
      <c r="D174" s="4"/>
      <c r="E174" s="4"/>
      <c r="F174" s="4"/>
      <c r="G174" s="4"/>
      <c r="H174" s="4"/>
      <c r="I174" s="5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 spans="1:25" ht="15.75" customHeight="1">
      <c r="A175" s="4"/>
      <c r="B175" s="5"/>
      <c r="C175" s="18"/>
      <c r="D175" s="4"/>
      <c r="E175" s="4"/>
      <c r="F175" s="4"/>
      <c r="G175" s="4"/>
      <c r="H175" s="4"/>
      <c r="I175" s="5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 spans="1:25" ht="15.75" customHeight="1">
      <c r="A176" s="4"/>
      <c r="B176" s="5"/>
      <c r="C176" s="18"/>
      <c r="D176" s="4"/>
      <c r="E176" s="4"/>
      <c r="F176" s="4"/>
      <c r="G176" s="4"/>
      <c r="H176" s="4"/>
      <c r="I176" s="5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 spans="1:25" ht="15.75" customHeight="1">
      <c r="A177" s="4"/>
      <c r="B177" s="5"/>
      <c r="C177" s="18"/>
      <c r="D177" s="4"/>
      <c r="E177" s="4"/>
      <c r="F177" s="4"/>
      <c r="G177" s="4"/>
      <c r="H177" s="4"/>
      <c r="I177" s="5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 spans="1:25" ht="15.75" customHeight="1">
      <c r="A178" s="4"/>
      <c r="B178" s="5"/>
      <c r="C178" s="18"/>
      <c r="D178" s="4"/>
      <c r="E178" s="4"/>
      <c r="F178" s="4"/>
      <c r="G178" s="4"/>
      <c r="H178" s="4"/>
      <c r="I178" s="5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 spans="1:25" ht="15.75" customHeight="1">
      <c r="A179" s="4"/>
      <c r="B179" s="5"/>
      <c r="C179" s="18"/>
      <c r="D179" s="4"/>
      <c r="E179" s="4"/>
      <c r="F179" s="4"/>
      <c r="G179" s="4"/>
      <c r="H179" s="4"/>
      <c r="I179" s="5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 spans="1:25" ht="15.75" customHeight="1">
      <c r="A180" s="4"/>
      <c r="B180" s="5"/>
      <c r="C180" s="18"/>
      <c r="D180" s="4"/>
      <c r="E180" s="4"/>
      <c r="F180" s="4"/>
      <c r="G180" s="4"/>
      <c r="H180" s="4"/>
      <c r="I180" s="5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 spans="1:25" ht="15.75" customHeight="1">
      <c r="A181" s="4"/>
      <c r="B181" s="5"/>
      <c r="C181" s="18"/>
      <c r="D181" s="4"/>
      <c r="E181" s="4"/>
      <c r="F181" s="4"/>
      <c r="G181" s="4"/>
      <c r="H181" s="4"/>
      <c r="I181" s="5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 spans="1:25" ht="15.75" customHeight="1">
      <c r="A182" s="4"/>
      <c r="B182" s="5"/>
      <c r="C182" s="18"/>
      <c r="D182" s="4"/>
      <c r="E182" s="4"/>
      <c r="F182" s="4"/>
      <c r="G182" s="4"/>
      <c r="H182" s="4"/>
      <c r="I182" s="5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 spans="1:25" ht="15.75" customHeight="1">
      <c r="A183" s="4"/>
      <c r="B183" s="5"/>
      <c r="C183" s="18"/>
      <c r="D183" s="4"/>
      <c r="E183" s="4"/>
      <c r="F183" s="4"/>
      <c r="G183" s="4"/>
      <c r="H183" s="4"/>
      <c r="I183" s="5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 spans="1:25" ht="15.75" customHeight="1">
      <c r="A184" s="4"/>
      <c r="B184" s="5"/>
      <c r="C184" s="18"/>
      <c r="D184" s="4"/>
      <c r="E184" s="4"/>
      <c r="F184" s="4"/>
      <c r="G184" s="4"/>
      <c r="H184" s="4"/>
      <c r="I184" s="5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 spans="1:25" ht="15.75" customHeight="1">
      <c r="A185" s="4"/>
      <c r="B185" s="5"/>
      <c r="C185" s="18"/>
      <c r="D185" s="4"/>
      <c r="E185" s="4"/>
      <c r="F185" s="4"/>
      <c r="G185" s="4"/>
      <c r="H185" s="4"/>
      <c r="I185" s="5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 spans="1:25" ht="15.75" customHeight="1">
      <c r="A186" s="4"/>
      <c r="B186" s="5"/>
      <c r="C186" s="18"/>
      <c r="D186" s="4"/>
      <c r="E186" s="4"/>
      <c r="F186" s="4"/>
      <c r="G186" s="4"/>
      <c r="H186" s="4"/>
      <c r="I186" s="5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 spans="1:25" ht="15.75" customHeight="1">
      <c r="A187" s="4"/>
      <c r="B187" s="5"/>
      <c r="C187" s="18"/>
      <c r="D187" s="4"/>
      <c r="E187" s="4"/>
      <c r="F187" s="4"/>
      <c r="G187" s="4"/>
      <c r="H187" s="4"/>
      <c r="I187" s="5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 spans="1:25" ht="15.75" customHeight="1">
      <c r="A188" s="4"/>
      <c r="B188" s="5"/>
      <c r="C188" s="18"/>
      <c r="D188" s="4"/>
      <c r="E188" s="4"/>
      <c r="F188" s="4"/>
      <c r="G188" s="4"/>
      <c r="H188" s="4"/>
      <c r="I188" s="5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 spans="1:25" ht="15.75" customHeight="1">
      <c r="A189" s="4"/>
      <c r="B189" s="5"/>
      <c r="C189" s="18"/>
      <c r="D189" s="4"/>
      <c r="E189" s="4"/>
      <c r="F189" s="4"/>
      <c r="G189" s="4"/>
      <c r="H189" s="4"/>
      <c r="I189" s="5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 spans="1:25" ht="15.75" customHeight="1">
      <c r="A190" s="4"/>
      <c r="B190" s="5"/>
      <c r="C190" s="18"/>
      <c r="D190" s="4"/>
      <c r="E190" s="4"/>
      <c r="F190" s="4"/>
      <c r="G190" s="4"/>
      <c r="H190" s="4"/>
      <c r="I190" s="5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 spans="1:25" ht="15.75" customHeight="1">
      <c r="A191" s="4"/>
      <c r="B191" s="5"/>
      <c r="C191" s="18"/>
      <c r="D191" s="4"/>
      <c r="E191" s="4"/>
      <c r="F191" s="4"/>
      <c r="G191" s="4"/>
      <c r="H191" s="4"/>
      <c r="I191" s="5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 spans="1:25" ht="15.75" customHeight="1">
      <c r="A192" s="4"/>
      <c r="B192" s="5"/>
      <c r="C192" s="18"/>
      <c r="D192" s="4"/>
      <c r="E192" s="4"/>
      <c r="F192" s="4"/>
      <c r="G192" s="4"/>
      <c r="H192" s="4"/>
      <c r="I192" s="5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 spans="1:25" ht="15.75" customHeight="1">
      <c r="A193" s="4"/>
      <c r="B193" s="5"/>
      <c r="C193" s="18"/>
      <c r="D193" s="4"/>
      <c r="E193" s="4"/>
      <c r="F193" s="4"/>
      <c r="G193" s="4"/>
      <c r="H193" s="4"/>
      <c r="I193" s="5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 spans="1:25" ht="15.75" customHeight="1">
      <c r="A194" s="4"/>
      <c r="B194" s="5"/>
      <c r="C194" s="18"/>
      <c r="D194" s="4"/>
      <c r="E194" s="4"/>
      <c r="F194" s="4"/>
      <c r="G194" s="4"/>
      <c r="H194" s="4"/>
      <c r="I194" s="5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 spans="1:25" ht="15.75" customHeight="1">
      <c r="A195" s="4"/>
      <c r="B195" s="5"/>
      <c r="C195" s="18"/>
      <c r="D195" s="4"/>
      <c r="E195" s="4"/>
      <c r="F195" s="4"/>
      <c r="G195" s="4"/>
      <c r="H195" s="4"/>
      <c r="I195" s="5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 spans="1:25" ht="15.75" customHeight="1">
      <c r="A196" s="4"/>
      <c r="B196" s="5"/>
      <c r="C196" s="18"/>
      <c r="D196" s="4"/>
      <c r="E196" s="4"/>
      <c r="F196" s="4"/>
      <c r="G196" s="4"/>
      <c r="H196" s="4"/>
      <c r="I196" s="5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 spans="1:25" ht="15.75" customHeight="1">
      <c r="A197" s="4"/>
      <c r="B197" s="5"/>
      <c r="C197" s="18"/>
      <c r="D197" s="4"/>
      <c r="E197" s="4"/>
      <c r="F197" s="4"/>
      <c r="G197" s="4"/>
      <c r="H197" s="4"/>
      <c r="I197" s="5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 spans="1:25" ht="15.75" customHeight="1">
      <c r="A198" s="4"/>
      <c r="B198" s="5"/>
      <c r="C198" s="18"/>
      <c r="D198" s="4"/>
      <c r="E198" s="4"/>
      <c r="F198" s="4"/>
      <c r="G198" s="4"/>
      <c r="H198" s="4"/>
      <c r="I198" s="5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 spans="1:25" ht="15.75" customHeight="1">
      <c r="A199" s="4"/>
      <c r="B199" s="5"/>
      <c r="C199" s="18"/>
      <c r="D199" s="4"/>
      <c r="E199" s="4"/>
      <c r="F199" s="4"/>
      <c r="G199" s="4"/>
      <c r="H199" s="4"/>
      <c r="I199" s="5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 spans="1:25" ht="15.75" customHeight="1">
      <c r="A200" s="4"/>
      <c r="B200" s="5"/>
      <c r="C200" s="18"/>
      <c r="D200" s="4"/>
      <c r="E200" s="4"/>
      <c r="F200" s="4"/>
      <c r="G200" s="4"/>
      <c r="H200" s="4"/>
      <c r="I200" s="5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 spans="1:25" ht="15.75" customHeight="1">
      <c r="A201" s="4"/>
      <c r="B201" s="5"/>
      <c r="C201" s="18"/>
      <c r="D201" s="4"/>
      <c r="E201" s="4"/>
      <c r="F201" s="4"/>
      <c r="G201" s="4"/>
      <c r="H201" s="4"/>
      <c r="I201" s="5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 spans="1:25" ht="15.75" customHeight="1">
      <c r="A202" s="4"/>
      <c r="B202" s="5"/>
      <c r="C202" s="18"/>
      <c r="D202" s="4"/>
      <c r="E202" s="4"/>
      <c r="F202" s="4"/>
      <c r="G202" s="4"/>
      <c r="H202" s="4"/>
      <c r="I202" s="5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 spans="1:25" ht="15.75" customHeight="1">
      <c r="A203" s="4"/>
      <c r="B203" s="5"/>
      <c r="C203" s="18"/>
      <c r="D203" s="4"/>
      <c r="E203" s="4"/>
      <c r="F203" s="4"/>
      <c r="G203" s="4"/>
      <c r="H203" s="4"/>
      <c r="I203" s="5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 spans="1:25" ht="15.75" customHeight="1">
      <c r="A204" s="4"/>
      <c r="B204" s="5"/>
      <c r="C204" s="18"/>
      <c r="D204" s="4"/>
      <c r="E204" s="4"/>
      <c r="F204" s="4"/>
      <c r="G204" s="4"/>
      <c r="H204" s="4"/>
      <c r="I204" s="5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 spans="1:25" ht="15.75" customHeight="1">
      <c r="A205" s="4"/>
      <c r="B205" s="5"/>
      <c r="C205" s="18"/>
      <c r="D205" s="4"/>
      <c r="E205" s="4"/>
      <c r="F205" s="4"/>
      <c r="G205" s="4"/>
      <c r="H205" s="4"/>
      <c r="I205" s="5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 spans="1:25" ht="15.75" customHeight="1">
      <c r="A206" s="4"/>
      <c r="B206" s="5"/>
      <c r="C206" s="18"/>
      <c r="D206" s="4"/>
      <c r="E206" s="4"/>
      <c r="F206" s="4"/>
      <c r="G206" s="4"/>
      <c r="H206" s="4"/>
      <c r="I206" s="5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 spans="1:25" ht="15.75" customHeight="1">
      <c r="A207" s="4"/>
      <c r="B207" s="5"/>
      <c r="C207" s="18"/>
      <c r="D207" s="4"/>
      <c r="E207" s="4"/>
      <c r="F207" s="4"/>
      <c r="G207" s="4"/>
      <c r="H207" s="4"/>
      <c r="I207" s="5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 spans="1:25" ht="15.75" customHeight="1">
      <c r="A208" s="4"/>
      <c r="B208" s="5"/>
      <c r="C208" s="18"/>
      <c r="D208" s="4"/>
      <c r="E208" s="4"/>
      <c r="F208" s="4"/>
      <c r="G208" s="4"/>
      <c r="H208" s="4"/>
      <c r="I208" s="5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 spans="1:25" ht="15.75" customHeight="1">
      <c r="A209" s="4"/>
      <c r="B209" s="5"/>
      <c r="C209" s="18"/>
      <c r="D209" s="4"/>
      <c r="E209" s="4"/>
      <c r="F209" s="4"/>
      <c r="G209" s="4"/>
      <c r="H209" s="4"/>
      <c r="I209" s="5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 spans="1:25" ht="15.75" customHeight="1">
      <c r="A210" s="4"/>
      <c r="B210" s="5"/>
      <c r="C210" s="18"/>
      <c r="D210" s="4"/>
      <c r="E210" s="4"/>
      <c r="F210" s="4"/>
      <c r="G210" s="4"/>
      <c r="H210" s="4"/>
      <c r="I210" s="5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 spans="1:25" ht="15.75" customHeight="1">
      <c r="A211" s="4"/>
      <c r="B211" s="5"/>
      <c r="C211" s="18"/>
      <c r="D211" s="4"/>
      <c r="E211" s="4"/>
      <c r="F211" s="4"/>
      <c r="G211" s="4"/>
      <c r="H211" s="4"/>
      <c r="I211" s="5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 spans="1:25" ht="15.75" customHeight="1">
      <c r="A212" s="4"/>
      <c r="B212" s="5"/>
      <c r="C212" s="18"/>
      <c r="D212" s="4"/>
      <c r="E212" s="4"/>
      <c r="F212" s="4"/>
      <c r="G212" s="4"/>
      <c r="H212" s="4"/>
      <c r="I212" s="5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 spans="1:25" ht="15.75" customHeight="1">
      <c r="A213" s="4"/>
      <c r="B213" s="5"/>
      <c r="C213" s="18"/>
      <c r="D213" s="4"/>
      <c r="E213" s="4"/>
      <c r="F213" s="4"/>
      <c r="G213" s="4"/>
      <c r="H213" s="4"/>
      <c r="I213" s="5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 spans="1:25" ht="15.75" customHeight="1">
      <c r="A214" s="4"/>
      <c r="B214" s="5"/>
      <c r="C214" s="18"/>
      <c r="D214" s="4"/>
      <c r="E214" s="4"/>
      <c r="F214" s="4"/>
      <c r="G214" s="4"/>
      <c r="H214" s="4"/>
      <c r="I214" s="5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 spans="1:25" ht="15.75" customHeight="1">
      <c r="A215" s="4"/>
      <c r="B215" s="5"/>
      <c r="C215" s="18"/>
      <c r="D215" s="4"/>
      <c r="E215" s="4"/>
      <c r="F215" s="4"/>
      <c r="G215" s="4"/>
      <c r="H215" s="4"/>
      <c r="I215" s="5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 spans="1:25" ht="15.75" customHeight="1">
      <c r="A216" s="4"/>
      <c r="B216" s="5"/>
      <c r="C216" s="18"/>
      <c r="D216" s="4"/>
      <c r="E216" s="4"/>
      <c r="F216" s="4"/>
      <c r="G216" s="4"/>
      <c r="H216" s="4"/>
      <c r="I216" s="5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 spans="1:25" ht="15.75" customHeight="1">
      <c r="A217" s="4"/>
      <c r="B217" s="5"/>
      <c r="C217" s="18"/>
      <c r="D217" s="4"/>
      <c r="E217" s="4"/>
      <c r="F217" s="4"/>
      <c r="G217" s="4"/>
      <c r="H217" s="4"/>
      <c r="I217" s="5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 spans="1:25" ht="15.75" customHeight="1">
      <c r="A218" s="4"/>
      <c r="B218" s="5"/>
      <c r="C218" s="18"/>
      <c r="D218" s="4"/>
      <c r="E218" s="4"/>
      <c r="F218" s="4"/>
      <c r="G218" s="4"/>
      <c r="H218" s="4"/>
      <c r="I218" s="5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 spans="1:25" ht="15.75" customHeight="1">
      <c r="A219" s="4"/>
      <c r="B219" s="5"/>
      <c r="C219" s="18"/>
      <c r="D219" s="4"/>
      <c r="E219" s="4"/>
      <c r="F219" s="4"/>
      <c r="G219" s="4"/>
      <c r="H219" s="4"/>
      <c r="I219" s="5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 spans="1:25" ht="15.75" customHeight="1">
      <c r="A220" s="4"/>
      <c r="B220" s="5"/>
      <c r="C220" s="18"/>
      <c r="D220" s="4"/>
      <c r="E220" s="4"/>
      <c r="F220" s="4"/>
      <c r="G220" s="4"/>
      <c r="H220" s="4"/>
      <c r="I220" s="5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 spans="1:25" ht="15.75" customHeight="1"/>
    <row r="222" spans="1:25" ht="15.75" customHeight="1"/>
    <row r="223" spans="1:25" ht="15.75" customHeight="1"/>
    <row r="224" spans="1:25" ht="15.75" customHeight="1"/>
    <row r="225" customFormat="1" ht="15.75" customHeight="1"/>
    <row r="226" customFormat="1" ht="15.75" customHeight="1"/>
    <row r="227" customFormat="1" ht="15.75" customHeight="1"/>
    <row r="228" customFormat="1" ht="15.75" customHeight="1"/>
    <row r="229" customFormat="1" ht="15.75" customHeight="1"/>
    <row r="230" customFormat="1" ht="15.75" customHeight="1"/>
    <row r="231" customFormat="1" ht="15.75" customHeight="1"/>
    <row r="232" customFormat="1" ht="15.75" customHeight="1"/>
    <row r="233" customFormat="1" ht="15.75" customHeight="1"/>
    <row r="234" customFormat="1" ht="15.75" customHeight="1"/>
    <row r="235" customFormat="1" ht="15.75" customHeight="1"/>
    <row r="236" customFormat="1" ht="15.75" customHeight="1"/>
    <row r="237" customFormat="1" ht="15.75" customHeight="1"/>
    <row r="238" customFormat="1" ht="15.75" customHeight="1"/>
    <row r="239" customFormat="1" ht="15.75" customHeight="1"/>
    <row r="240" customFormat="1" ht="15.75" customHeight="1"/>
    <row r="241" customFormat="1" ht="15.75" customHeight="1"/>
    <row r="242" customFormat="1" ht="15.75" customHeight="1"/>
    <row r="243" customFormat="1" ht="15.75" customHeight="1"/>
    <row r="244" customFormat="1" ht="15.75" customHeight="1"/>
    <row r="245" customFormat="1" ht="15.75" customHeight="1"/>
    <row r="246" customFormat="1" ht="15.75" customHeight="1"/>
    <row r="247" customFormat="1" ht="15.75" customHeight="1"/>
    <row r="248" customFormat="1" ht="15.75" customHeight="1"/>
    <row r="249" customFormat="1" ht="15.75" customHeight="1"/>
    <row r="250" customFormat="1" ht="15.75" customHeight="1"/>
    <row r="251" customFormat="1" ht="15.75" customHeight="1"/>
    <row r="252" customFormat="1" ht="15.75" customHeight="1"/>
    <row r="253" customFormat="1" ht="15.75" customHeight="1"/>
    <row r="254" customFormat="1" ht="15.75" customHeight="1"/>
    <row r="255" customFormat="1" ht="15.75" customHeight="1"/>
    <row r="256" customFormat="1" ht="15.75" customHeight="1"/>
    <row r="257" customFormat="1" ht="15.75" customHeight="1"/>
    <row r="258" customFormat="1" ht="15.75" customHeight="1"/>
    <row r="259" customFormat="1" ht="15.75" customHeight="1"/>
    <row r="260" customFormat="1" ht="15.75" customHeight="1"/>
    <row r="261" customFormat="1" ht="15.75" customHeight="1"/>
    <row r="262" customFormat="1" ht="15.75" customHeight="1"/>
    <row r="263" customFormat="1" ht="15.75" customHeight="1"/>
    <row r="264" customFormat="1" ht="15.75" customHeight="1"/>
    <row r="265" customFormat="1" ht="15.75" customHeight="1"/>
    <row r="266" customFormat="1" ht="15.75" customHeight="1"/>
    <row r="267" customFormat="1" ht="15.75" customHeight="1"/>
    <row r="268" customFormat="1" ht="15.75" customHeight="1"/>
    <row r="269" customFormat="1" ht="15.75" customHeight="1"/>
    <row r="270" customFormat="1" ht="15.75" customHeight="1"/>
    <row r="271" customFormat="1" ht="15.75" customHeight="1"/>
    <row r="272" customFormat="1" ht="15.75" customHeight="1"/>
    <row r="273" customFormat="1" ht="15.75" customHeight="1"/>
    <row r="274" customFormat="1" ht="15.75" customHeight="1"/>
    <row r="275" customFormat="1" ht="15.75" customHeight="1"/>
    <row r="276" customFormat="1" ht="15.75" customHeight="1"/>
    <row r="277" customFormat="1" ht="15.75" customHeight="1"/>
    <row r="278" customFormat="1" ht="15.75" customHeight="1"/>
    <row r="279" customFormat="1" ht="15.75" customHeight="1"/>
    <row r="280" customFormat="1" ht="15.75" customHeight="1"/>
    <row r="281" customFormat="1" ht="15.75" customHeight="1"/>
    <row r="282" customFormat="1" ht="15.75" customHeight="1"/>
    <row r="283" customFormat="1" ht="15.75" customHeight="1"/>
    <row r="284" customFormat="1" ht="15.75" customHeight="1"/>
    <row r="285" customFormat="1" ht="15.75" customHeight="1"/>
    <row r="286" customFormat="1" ht="15.75" customHeight="1"/>
    <row r="287" customFormat="1" ht="15.75" customHeight="1"/>
    <row r="288" customFormat="1" ht="15.75" customHeight="1"/>
    <row r="289" customFormat="1" ht="15.75" customHeight="1"/>
    <row r="290" customFormat="1" ht="15.75" customHeight="1"/>
    <row r="291" customFormat="1" ht="15.75" customHeight="1"/>
    <row r="292" customFormat="1" ht="15.75" customHeight="1"/>
    <row r="293" customFormat="1" ht="15.75" customHeight="1"/>
    <row r="294" customFormat="1" ht="15.75" customHeight="1"/>
    <row r="295" customFormat="1" ht="15.75" customHeight="1"/>
    <row r="296" customFormat="1" ht="15.75" customHeight="1"/>
    <row r="297" customFormat="1" ht="15.75" customHeight="1"/>
    <row r="298" customFormat="1" ht="15.75" customHeight="1"/>
    <row r="299" customFormat="1" ht="15.75" customHeight="1"/>
    <row r="300" customFormat="1" ht="15.75" customHeight="1"/>
    <row r="301" customFormat="1" ht="15.75" customHeight="1"/>
    <row r="302" customFormat="1" ht="15.75" customHeight="1"/>
    <row r="303" customFormat="1" ht="15.75" customHeight="1"/>
    <row r="304" customFormat="1" ht="15.75" customHeight="1"/>
    <row r="305" customFormat="1" ht="15.75" customHeight="1"/>
    <row r="306" customFormat="1" ht="15.75" customHeight="1"/>
    <row r="307" customFormat="1" ht="15.75" customHeight="1"/>
    <row r="308" customFormat="1" ht="15.75" customHeight="1"/>
    <row r="309" customFormat="1" ht="15.75" customHeight="1"/>
    <row r="310" customFormat="1" ht="15.75" customHeight="1"/>
    <row r="311" customFormat="1" ht="15.75" customHeight="1"/>
    <row r="312" customFormat="1" ht="15.75" customHeight="1"/>
    <row r="313" customFormat="1" ht="15.75" customHeight="1"/>
    <row r="314" customFormat="1" ht="15.75" customHeight="1"/>
    <row r="315" customFormat="1" ht="15.75" customHeight="1"/>
    <row r="316" customFormat="1" ht="15.75" customHeight="1"/>
    <row r="317" customFormat="1" ht="15.75" customHeight="1"/>
    <row r="318" customFormat="1" ht="15.75" customHeight="1"/>
    <row r="319" customFormat="1" ht="15.75" customHeight="1"/>
    <row r="320" customFormat="1" ht="15.75" customHeight="1"/>
    <row r="321" customFormat="1" ht="15.75" customHeight="1"/>
    <row r="322" customFormat="1" ht="15.75" customHeight="1"/>
    <row r="323" customFormat="1" ht="15.75" customHeight="1"/>
    <row r="324" customFormat="1" ht="15.75" customHeight="1"/>
    <row r="325" customFormat="1" ht="15.75" customHeight="1"/>
    <row r="326" customFormat="1" ht="15.75" customHeight="1"/>
    <row r="327" customFormat="1" ht="15.75" customHeight="1"/>
    <row r="328" customFormat="1" ht="15.75" customHeight="1"/>
    <row r="329" customFormat="1" ht="15.75" customHeight="1"/>
    <row r="330" customFormat="1" ht="15.75" customHeight="1"/>
    <row r="331" customFormat="1" ht="15.75" customHeight="1"/>
    <row r="332" customFormat="1" ht="15.75" customHeight="1"/>
    <row r="333" customFormat="1" ht="15.75" customHeight="1"/>
    <row r="334" customFormat="1" ht="15.75" customHeight="1"/>
    <row r="335" customFormat="1" ht="15.75" customHeight="1"/>
    <row r="336" customFormat="1" ht="15.75" customHeight="1"/>
    <row r="337" customFormat="1" ht="15.75" customHeight="1"/>
    <row r="338" customFormat="1" ht="15.75" customHeight="1"/>
    <row r="339" customFormat="1" ht="15.75" customHeight="1"/>
    <row r="340" customFormat="1" ht="15.75" customHeight="1"/>
    <row r="341" customFormat="1" ht="15.75" customHeight="1"/>
    <row r="342" customFormat="1" ht="15.75" customHeight="1"/>
    <row r="343" customFormat="1" ht="15.75" customHeight="1"/>
    <row r="344" customFormat="1" ht="15.75" customHeight="1"/>
    <row r="345" customFormat="1" ht="15.75" customHeight="1"/>
    <row r="346" customFormat="1" ht="15.75" customHeight="1"/>
    <row r="347" customFormat="1" ht="15.75" customHeight="1"/>
    <row r="348" customFormat="1" ht="15.75" customHeight="1"/>
    <row r="349" customFormat="1" ht="15.75" customHeight="1"/>
    <row r="350" customFormat="1" ht="15.75" customHeight="1"/>
    <row r="351" customFormat="1" ht="15.75" customHeight="1"/>
    <row r="352" customFormat="1" ht="15.75" customHeight="1"/>
    <row r="353" customFormat="1" ht="15.75" customHeight="1"/>
    <row r="354" customFormat="1" ht="15.75" customHeight="1"/>
    <row r="355" customFormat="1" ht="15.75" customHeight="1"/>
    <row r="356" customFormat="1" ht="15.75" customHeight="1"/>
    <row r="357" customFormat="1" ht="15.75" customHeight="1"/>
    <row r="358" customFormat="1" ht="15.75" customHeight="1"/>
    <row r="359" customFormat="1" ht="15.75" customHeight="1"/>
    <row r="360" customFormat="1" ht="15.75" customHeight="1"/>
    <row r="361" customFormat="1" ht="15.75" customHeight="1"/>
    <row r="362" customFormat="1" ht="15.75" customHeight="1"/>
    <row r="363" customFormat="1" ht="15.75" customHeight="1"/>
    <row r="364" customFormat="1" ht="15.75" customHeight="1"/>
    <row r="365" customFormat="1" ht="15.75" customHeight="1"/>
    <row r="366" customFormat="1" ht="15.75" customHeight="1"/>
    <row r="367" customFormat="1" ht="15.75" customHeight="1"/>
    <row r="368" customFormat="1" ht="15.75" customHeight="1"/>
    <row r="369" customFormat="1" ht="15.75" customHeight="1"/>
    <row r="370" customFormat="1" ht="15.75" customHeight="1"/>
    <row r="371" customFormat="1" ht="15.75" customHeight="1"/>
    <row r="372" customFormat="1" ht="15.75" customHeight="1"/>
    <row r="373" customFormat="1" ht="15.75" customHeight="1"/>
    <row r="374" customFormat="1" ht="15.75" customHeight="1"/>
    <row r="375" customFormat="1" ht="15.75" customHeight="1"/>
    <row r="376" customFormat="1" ht="15.75" customHeight="1"/>
    <row r="377" customFormat="1" ht="15.75" customHeight="1"/>
    <row r="378" customFormat="1" ht="15.75" customHeight="1"/>
    <row r="379" customFormat="1" ht="15.75" customHeight="1"/>
    <row r="380" customFormat="1" ht="15.75" customHeight="1"/>
    <row r="381" customFormat="1" ht="15.75" customHeight="1"/>
    <row r="382" customFormat="1" ht="15.75" customHeight="1"/>
    <row r="383" customFormat="1" ht="15.75" customHeight="1"/>
    <row r="384" customFormat="1" ht="15.75" customHeight="1"/>
    <row r="385" customFormat="1" ht="15.75" customHeight="1"/>
    <row r="386" customFormat="1" ht="15.75" customHeight="1"/>
    <row r="387" customFormat="1" ht="15.75" customHeight="1"/>
    <row r="388" customFormat="1" ht="15.75" customHeight="1"/>
    <row r="389" customFormat="1" ht="15.75" customHeight="1"/>
    <row r="390" customFormat="1" ht="15.75" customHeight="1"/>
    <row r="391" customFormat="1" ht="15.75" customHeight="1"/>
    <row r="392" customFormat="1" ht="15.75" customHeight="1"/>
    <row r="393" customFormat="1" ht="15.75" customHeight="1"/>
    <row r="394" customFormat="1" ht="15.75" customHeight="1"/>
    <row r="395" customFormat="1" ht="15.75" customHeight="1"/>
    <row r="396" customFormat="1" ht="15.75" customHeight="1"/>
    <row r="397" customFormat="1" ht="15.75" customHeight="1"/>
    <row r="398" customFormat="1" ht="15.75" customHeight="1"/>
    <row r="399" customFormat="1" ht="15.75" customHeight="1"/>
    <row r="400" customFormat="1" ht="15.75" customHeight="1"/>
    <row r="401" customFormat="1" ht="15.75" customHeight="1"/>
    <row r="402" customFormat="1" ht="15.75" customHeight="1"/>
    <row r="403" customFormat="1" ht="15.75" customHeight="1"/>
    <row r="404" customFormat="1" ht="15.75" customHeight="1"/>
    <row r="405" customFormat="1" ht="15.75" customHeight="1"/>
    <row r="406" customFormat="1" ht="15.75" customHeight="1"/>
    <row r="407" customFormat="1" ht="15.75" customHeight="1"/>
    <row r="408" customFormat="1" ht="15.75" customHeight="1"/>
    <row r="409" customFormat="1" ht="15.75" customHeight="1"/>
    <row r="410" customFormat="1" ht="15.75" customHeight="1"/>
    <row r="411" customFormat="1" ht="15.75" customHeight="1"/>
    <row r="412" customFormat="1" ht="15.75" customHeight="1"/>
    <row r="413" customFormat="1" ht="15.75" customHeight="1"/>
    <row r="414" customFormat="1" ht="15.75" customHeight="1"/>
    <row r="415" customFormat="1" ht="15.75" customHeight="1"/>
    <row r="416" customFormat="1" ht="15.75" customHeight="1"/>
    <row r="417" customFormat="1" ht="15.75" customHeight="1"/>
    <row r="418" customFormat="1" ht="15.75" customHeight="1"/>
    <row r="419" customFormat="1" ht="15.75" customHeight="1"/>
    <row r="420" customFormat="1" ht="15.75" customHeight="1"/>
    <row r="421" customFormat="1" ht="15.75" customHeight="1"/>
    <row r="422" customFormat="1" ht="15.75" customHeight="1"/>
    <row r="423" customFormat="1" ht="15.75" customHeight="1"/>
    <row r="424" customFormat="1" ht="15.75" customHeight="1"/>
    <row r="425" customFormat="1" ht="15.75" customHeight="1"/>
    <row r="426" customFormat="1" ht="15.75" customHeight="1"/>
    <row r="427" customFormat="1" ht="15.75" customHeight="1"/>
    <row r="428" customFormat="1" ht="15.75" customHeight="1"/>
    <row r="429" customFormat="1" ht="15.75" customHeight="1"/>
    <row r="430" customFormat="1" ht="15.75" customHeight="1"/>
    <row r="431" customFormat="1" ht="15.75" customHeight="1"/>
    <row r="432" customFormat="1" ht="15.75" customHeight="1"/>
    <row r="433" customFormat="1" ht="15.75" customHeight="1"/>
    <row r="434" customFormat="1" ht="15.75" customHeight="1"/>
    <row r="435" customFormat="1" ht="15.75" customHeight="1"/>
    <row r="436" customFormat="1" ht="15.75" customHeight="1"/>
    <row r="437" customFormat="1" ht="15.75" customHeight="1"/>
    <row r="438" customFormat="1" ht="15.75" customHeight="1"/>
    <row r="439" customFormat="1" ht="15.75" customHeight="1"/>
    <row r="440" customFormat="1" ht="15.75" customHeight="1"/>
    <row r="441" customFormat="1" ht="15.75" customHeight="1"/>
    <row r="442" customFormat="1" ht="15.75" customHeight="1"/>
    <row r="443" customFormat="1" ht="15.75" customHeight="1"/>
    <row r="444" customFormat="1" ht="15.75" customHeight="1"/>
    <row r="445" customFormat="1" ht="15.75" customHeight="1"/>
    <row r="446" customFormat="1" ht="15.75" customHeight="1"/>
    <row r="447" customFormat="1" ht="15.75" customHeight="1"/>
    <row r="448" customFormat="1" ht="15.75" customHeight="1"/>
    <row r="449" customFormat="1" ht="15.75" customHeight="1"/>
    <row r="450" customFormat="1" ht="15.75" customHeight="1"/>
    <row r="451" customFormat="1" ht="15.75" customHeight="1"/>
    <row r="452" customFormat="1" ht="15.75" customHeight="1"/>
    <row r="453" customFormat="1" ht="15.75" customHeight="1"/>
    <row r="454" customFormat="1" ht="15.75" customHeight="1"/>
    <row r="455" customFormat="1" ht="15.75" customHeight="1"/>
    <row r="456" customFormat="1" ht="15.75" customHeight="1"/>
    <row r="457" customFormat="1" ht="15.75" customHeight="1"/>
    <row r="458" customFormat="1" ht="15.75" customHeight="1"/>
    <row r="459" customFormat="1" ht="15.75" customHeight="1"/>
    <row r="460" customFormat="1" ht="15.75" customHeight="1"/>
    <row r="461" customFormat="1" ht="15.75" customHeight="1"/>
    <row r="462" customFormat="1" ht="15.75" customHeight="1"/>
    <row r="463" customFormat="1" ht="15.75" customHeight="1"/>
    <row r="464" customFormat="1" ht="15.75" customHeight="1"/>
    <row r="465" customFormat="1" ht="15.75" customHeight="1"/>
    <row r="466" customFormat="1" ht="15.75" customHeight="1"/>
    <row r="467" customFormat="1" ht="15.75" customHeight="1"/>
    <row r="468" customFormat="1" ht="15.75" customHeight="1"/>
    <row r="469" customFormat="1" ht="15.75" customHeight="1"/>
    <row r="470" customFormat="1" ht="15.75" customHeight="1"/>
    <row r="471" customFormat="1" ht="15.75" customHeight="1"/>
    <row r="472" customFormat="1" ht="15.75" customHeight="1"/>
    <row r="473" customFormat="1" ht="15.75" customHeight="1"/>
    <row r="474" customFormat="1" ht="15.75" customHeight="1"/>
    <row r="475" customFormat="1" ht="15.75" customHeight="1"/>
    <row r="476" customFormat="1" ht="15.75" customHeight="1"/>
    <row r="477" customFormat="1" ht="15.75" customHeight="1"/>
    <row r="478" customFormat="1" ht="15.75" customHeight="1"/>
    <row r="479" customFormat="1" ht="15.75" customHeight="1"/>
    <row r="480" customFormat="1" ht="15.75" customHeight="1"/>
    <row r="481" customFormat="1" ht="15.75" customHeight="1"/>
    <row r="482" customFormat="1" ht="15.75" customHeight="1"/>
    <row r="483" customFormat="1" ht="15.75" customHeight="1"/>
    <row r="484" customFormat="1" ht="15.75" customHeight="1"/>
    <row r="485" customFormat="1" ht="15.75" customHeight="1"/>
    <row r="486" customFormat="1" ht="15.75" customHeight="1"/>
    <row r="487" customFormat="1" ht="15.75" customHeight="1"/>
    <row r="488" customFormat="1" ht="15.75" customHeight="1"/>
    <row r="489" customFormat="1" ht="15.75" customHeight="1"/>
    <row r="490" customFormat="1" ht="15.75" customHeight="1"/>
    <row r="491" customFormat="1" ht="15.75" customHeight="1"/>
    <row r="492" customFormat="1" ht="15.75" customHeight="1"/>
    <row r="493" customFormat="1" ht="15.75" customHeight="1"/>
    <row r="494" customFormat="1" ht="15.75" customHeight="1"/>
    <row r="495" customFormat="1" ht="15.75" customHeight="1"/>
    <row r="496" customFormat="1" ht="15.75" customHeight="1"/>
    <row r="497" customFormat="1" ht="15.75" customHeight="1"/>
    <row r="498" customFormat="1" ht="15.75" customHeight="1"/>
    <row r="499" customFormat="1" ht="15.75" customHeight="1"/>
    <row r="500" customFormat="1" ht="15.75" customHeight="1"/>
    <row r="501" customFormat="1" ht="15.75" customHeight="1"/>
    <row r="502" customFormat="1" ht="15.75" customHeight="1"/>
    <row r="503" customFormat="1" ht="15.75" customHeight="1"/>
    <row r="504" customFormat="1" ht="15.75" customHeight="1"/>
    <row r="505" customFormat="1" ht="15.75" customHeight="1"/>
    <row r="506" customFormat="1" ht="15.75" customHeight="1"/>
    <row r="507" customFormat="1" ht="15.75" customHeight="1"/>
    <row r="508" customFormat="1" ht="15.75" customHeight="1"/>
    <row r="509" customFormat="1" ht="15.75" customHeight="1"/>
    <row r="510" customFormat="1" ht="15.75" customHeight="1"/>
    <row r="511" customFormat="1" ht="15.75" customHeight="1"/>
    <row r="512" customFormat="1" ht="15.75" customHeight="1"/>
    <row r="513" customFormat="1" ht="15.75" customHeight="1"/>
    <row r="514" customFormat="1" ht="15.75" customHeight="1"/>
    <row r="515" customFormat="1" ht="15.75" customHeight="1"/>
    <row r="516" customFormat="1" ht="15.75" customHeight="1"/>
    <row r="517" customFormat="1" ht="15.75" customHeight="1"/>
    <row r="518" customFormat="1" ht="15.75" customHeight="1"/>
    <row r="519" customFormat="1" ht="15.75" customHeight="1"/>
    <row r="520" customFormat="1" ht="15.75" customHeight="1"/>
    <row r="521" customFormat="1" ht="15.75" customHeight="1"/>
    <row r="522" customFormat="1" ht="15.75" customHeight="1"/>
    <row r="523" customFormat="1" ht="15.75" customHeight="1"/>
    <row r="524" customFormat="1" ht="15.75" customHeight="1"/>
    <row r="525" customFormat="1" ht="15.75" customHeight="1"/>
    <row r="526" customFormat="1" ht="15.75" customHeight="1"/>
    <row r="527" customFormat="1" ht="15.75" customHeight="1"/>
    <row r="528" customFormat="1" ht="15.75" customHeight="1"/>
    <row r="529" customFormat="1" ht="15.75" customHeight="1"/>
    <row r="530" customFormat="1" ht="15.75" customHeight="1"/>
    <row r="531" customFormat="1" ht="15.75" customHeight="1"/>
    <row r="532" customFormat="1" ht="15.75" customHeight="1"/>
    <row r="533" customFormat="1" ht="15.75" customHeight="1"/>
    <row r="534" customFormat="1" ht="15.75" customHeight="1"/>
    <row r="535" customFormat="1" ht="15.75" customHeight="1"/>
    <row r="536" customFormat="1" ht="15.75" customHeight="1"/>
    <row r="537" customFormat="1" ht="15.75" customHeight="1"/>
    <row r="538" customFormat="1" ht="15.75" customHeight="1"/>
    <row r="539" customFormat="1" ht="15.75" customHeight="1"/>
    <row r="540" customFormat="1" ht="15.75" customHeight="1"/>
    <row r="541" customFormat="1" ht="15.75" customHeight="1"/>
    <row r="542" customFormat="1" ht="15.75" customHeight="1"/>
    <row r="543" customFormat="1" ht="15.75" customHeight="1"/>
    <row r="544" customFormat="1" ht="15.75" customHeight="1"/>
    <row r="545" customFormat="1" ht="15.75" customHeight="1"/>
    <row r="546" customFormat="1" ht="15.75" customHeight="1"/>
    <row r="547" customFormat="1" ht="15.75" customHeight="1"/>
    <row r="548" customFormat="1" ht="15.75" customHeight="1"/>
    <row r="549" customFormat="1" ht="15.75" customHeight="1"/>
    <row r="550" customFormat="1" ht="15.75" customHeight="1"/>
    <row r="551" customFormat="1" ht="15.75" customHeight="1"/>
    <row r="552" customFormat="1" ht="15.75" customHeight="1"/>
    <row r="553" customFormat="1" ht="15.75" customHeight="1"/>
    <row r="554" customFormat="1" ht="15.75" customHeight="1"/>
    <row r="555" customFormat="1" ht="15.75" customHeight="1"/>
    <row r="556" customFormat="1" ht="15.75" customHeight="1"/>
    <row r="557" customFormat="1" ht="15.75" customHeight="1"/>
    <row r="558" customFormat="1" ht="15.75" customHeight="1"/>
    <row r="559" customFormat="1" ht="15.75" customHeight="1"/>
    <row r="560" customFormat="1" ht="15.75" customHeight="1"/>
    <row r="561" customFormat="1" ht="15.75" customHeight="1"/>
    <row r="562" customFormat="1" ht="15.75" customHeight="1"/>
    <row r="563" customFormat="1" ht="15.75" customHeight="1"/>
    <row r="564" customFormat="1" ht="15.75" customHeight="1"/>
    <row r="565" customFormat="1" ht="15.75" customHeight="1"/>
    <row r="566" customFormat="1" ht="15.75" customHeight="1"/>
    <row r="567" customFormat="1" ht="15.75" customHeight="1"/>
    <row r="568" customFormat="1" ht="15.75" customHeight="1"/>
    <row r="569" customFormat="1" ht="15.75" customHeight="1"/>
    <row r="570" customFormat="1" ht="15.75" customHeight="1"/>
    <row r="571" customFormat="1" ht="15.75" customHeight="1"/>
    <row r="572" customFormat="1" ht="15.75" customHeight="1"/>
    <row r="573" customFormat="1" ht="15.75" customHeight="1"/>
    <row r="574" customFormat="1" ht="15.75" customHeight="1"/>
    <row r="575" customFormat="1" ht="15.75" customHeight="1"/>
    <row r="576" customFormat="1" ht="15.75" customHeight="1"/>
    <row r="577" customFormat="1" ht="15.75" customHeight="1"/>
    <row r="578" customFormat="1" ht="15.75" customHeight="1"/>
    <row r="579" customFormat="1" ht="15.75" customHeight="1"/>
    <row r="580" customFormat="1" ht="15.75" customHeight="1"/>
    <row r="581" customFormat="1" ht="15.75" customHeight="1"/>
    <row r="582" customFormat="1" ht="15.75" customHeight="1"/>
    <row r="583" customFormat="1" ht="15.75" customHeight="1"/>
    <row r="584" customFormat="1" ht="15.75" customHeight="1"/>
    <row r="585" customFormat="1" ht="15.75" customHeight="1"/>
    <row r="586" customFormat="1" ht="15.75" customHeight="1"/>
    <row r="587" customFormat="1" ht="15.75" customHeight="1"/>
    <row r="588" customFormat="1" ht="15.75" customHeight="1"/>
    <row r="589" customFormat="1" ht="15.75" customHeight="1"/>
    <row r="590" customFormat="1" ht="15.75" customHeight="1"/>
    <row r="591" customFormat="1" ht="15.75" customHeight="1"/>
    <row r="592" customFormat="1" ht="15.75" customHeight="1"/>
    <row r="593" customFormat="1" ht="15.75" customHeight="1"/>
    <row r="594" customFormat="1" ht="15.75" customHeight="1"/>
    <row r="595" customFormat="1" ht="15.75" customHeight="1"/>
    <row r="596" customFormat="1" ht="15.75" customHeight="1"/>
    <row r="597" customFormat="1" ht="15.75" customHeight="1"/>
    <row r="598" customFormat="1" ht="15.75" customHeight="1"/>
    <row r="599" customFormat="1" ht="15.75" customHeight="1"/>
    <row r="600" customFormat="1" ht="15.75" customHeight="1"/>
    <row r="601" customFormat="1" ht="15.75" customHeight="1"/>
    <row r="602" customFormat="1" ht="15.75" customHeight="1"/>
    <row r="603" customFormat="1" ht="15.75" customHeight="1"/>
    <row r="604" customFormat="1" ht="15.75" customHeight="1"/>
    <row r="605" customFormat="1" ht="15.75" customHeight="1"/>
    <row r="606" customFormat="1" ht="15.75" customHeight="1"/>
    <row r="607" customFormat="1" ht="15.75" customHeight="1"/>
    <row r="608" customFormat="1" ht="15.75" customHeight="1"/>
    <row r="609" customFormat="1" ht="15.75" customHeight="1"/>
    <row r="610" customFormat="1" ht="15.75" customHeight="1"/>
    <row r="611" customFormat="1" ht="15.75" customHeight="1"/>
    <row r="612" customFormat="1" ht="15.75" customHeight="1"/>
    <row r="613" customFormat="1" ht="15.75" customHeight="1"/>
    <row r="614" customFormat="1" ht="15.75" customHeight="1"/>
    <row r="615" customFormat="1" ht="15.75" customHeight="1"/>
    <row r="616" customFormat="1" ht="15.75" customHeight="1"/>
    <row r="617" customFormat="1" ht="15.75" customHeight="1"/>
    <row r="618" customFormat="1" ht="15.75" customHeight="1"/>
    <row r="619" customFormat="1" ht="15.75" customHeight="1"/>
    <row r="620" customFormat="1" ht="15.75" customHeight="1"/>
    <row r="621" customFormat="1" ht="15.75" customHeight="1"/>
    <row r="622" customFormat="1" ht="15.75" customHeight="1"/>
    <row r="623" customFormat="1" ht="15.75" customHeight="1"/>
    <row r="624" customFormat="1" ht="15.75" customHeight="1"/>
    <row r="625" customFormat="1" ht="15.75" customHeight="1"/>
    <row r="626" customFormat="1" ht="15.75" customHeight="1"/>
    <row r="627" customFormat="1" ht="15.75" customHeight="1"/>
    <row r="628" customFormat="1" ht="15.75" customHeight="1"/>
    <row r="629" customFormat="1" ht="15.75" customHeight="1"/>
    <row r="630" customFormat="1" ht="15.75" customHeight="1"/>
    <row r="631" customFormat="1" ht="15.75" customHeight="1"/>
    <row r="632" customFormat="1" ht="15.75" customHeight="1"/>
    <row r="633" customFormat="1" ht="15.75" customHeight="1"/>
    <row r="634" customFormat="1" ht="15.75" customHeight="1"/>
    <row r="635" customFormat="1" ht="15.75" customHeight="1"/>
    <row r="636" customFormat="1" ht="15.75" customHeight="1"/>
    <row r="637" customFormat="1" ht="15.75" customHeight="1"/>
    <row r="638" customFormat="1" ht="15.75" customHeight="1"/>
    <row r="639" customFormat="1" ht="15.75" customHeight="1"/>
    <row r="640" customFormat="1" ht="15.75" customHeight="1"/>
    <row r="641" customFormat="1" ht="15.75" customHeight="1"/>
    <row r="642" customFormat="1" ht="15.75" customHeight="1"/>
    <row r="643" customFormat="1" ht="15.75" customHeight="1"/>
    <row r="644" customFormat="1" ht="15.75" customHeight="1"/>
    <row r="645" customFormat="1" ht="15.75" customHeight="1"/>
    <row r="646" customFormat="1" ht="15.75" customHeight="1"/>
    <row r="647" customFormat="1" ht="15.75" customHeight="1"/>
    <row r="648" customFormat="1" ht="15.75" customHeight="1"/>
    <row r="649" customFormat="1" ht="15.75" customHeight="1"/>
    <row r="650" customFormat="1" ht="15.75" customHeight="1"/>
    <row r="651" customFormat="1" ht="15.75" customHeight="1"/>
    <row r="652" customFormat="1" ht="15.75" customHeight="1"/>
    <row r="653" customFormat="1" ht="15.75" customHeight="1"/>
    <row r="654" customFormat="1" ht="15.75" customHeight="1"/>
    <row r="655" customFormat="1" ht="15.75" customHeight="1"/>
    <row r="656" customFormat="1" ht="15.75" customHeight="1"/>
    <row r="657" customFormat="1" ht="15.75" customHeight="1"/>
    <row r="658" customFormat="1" ht="15.75" customHeight="1"/>
    <row r="659" customFormat="1" ht="15.75" customHeight="1"/>
    <row r="660" customFormat="1" ht="15.75" customHeight="1"/>
    <row r="661" customFormat="1" ht="15.75" customHeight="1"/>
    <row r="662" customFormat="1" ht="15.75" customHeight="1"/>
    <row r="663" customFormat="1" ht="15.75" customHeight="1"/>
    <row r="664" customFormat="1" ht="15.75" customHeight="1"/>
    <row r="665" customFormat="1" ht="15.75" customHeight="1"/>
    <row r="666" customFormat="1" ht="15.75" customHeight="1"/>
    <row r="667" customFormat="1" ht="15.75" customHeight="1"/>
    <row r="668" customFormat="1" ht="15.75" customHeight="1"/>
    <row r="669" customFormat="1" ht="15.75" customHeight="1"/>
    <row r="670" customFormat="1" ht="15.75" customHeight="1"/>
    <row r="671" customFormat="1" ht="15.75" customHeight="1"/>
    <row r="672" customFormat="1" ht="15.75" customHeight="1"/>
    <row r="673" customFormat="1" ht="15.75" customHeight="1"/>
    <row r="674" customFormat="1" ht="15.75" customHeight="1"/>
    <row r="675" customFormat="1" ht="15.75" customHeight="1"/>
    <row r="676" customFormat="1" ht="15.75" customHeight="1"/>
    <row r="677" customFormat="1" ht="15.75" customHeight="1"/>
    <row r="678" customFormat="1" ht="15.75" customHeight="1"/>
    <row r="679" customFormat="1" ht="15.75" customHeight="1"/>
    <row r="680" customFormat="1" ht="15.75" customHeight="1"/>
    <row r="681" customFormat="1" ht="15.75" customHeight="1"/>
    <row r="682" customFormat="1" ht="15.75" customHeight="1"/>
    <row r="683" customFormat="1" ht="15.75" customHeight="1"/>
    <row r="684" customFormat="1" ht="15.75" customHeight="1"/>
    <row r="685" customFormat="1" ht="15.75" customHeight="1"/>
    <row r="686" customFormat="1" ht="15.75" customHeight="1"/>
    <row r="687" customFormat="1" ht="15.75" customHeight="1"/>
    <row r="688" customFormat="1" ht="15.75" customHeight="1"/>
    <row r="689" customFormat="1" ht="15.75" customHeight="1"/>
    <row r="690" customFormat="1" ht="15.75" customHeight="1"/>
    <row r="691" customFormat="1" ht="15.75" customHeight="1"/>
    <row r="692" customFormat="1" ht="15.75" customHeight="1"/>
    <row r="693" customFormat="1" ht="15.75" customHeight="1"/>
    <row r="694" customFormat="1" ht="15.75" customHeight="1"/>
    <row r="695" customFormat="1" ht="15.75" customHeight="1"/>
    <row r="696" customFormat="1" ht="15.75" customHeight="1"/>
    <row r="697" customFormat="1" ht="15.75" customHeight="1"/>
    <row r="698" customFormat="1" ht="15.75" customHeight="1"/>
    <row r="699" customFormat="1" ht="15.75" customHeight="1"/>
    <row r="700" customFormat="1" ht="15.75" customHeight="1"/>
    <row r="701" customFormat="1" ht="15.75" customHeight="1"/>
    <row r="702" customFormat="1" ht="15.75" customHeight="1"/>
    <row r="703" customFormat="1" ht="15.75" customHeight="1"/>
    <row r="704" customFormat="1" ht="15.75" customHeight="1"/>
    <row r="705" customFormat="1" ht="15.75" customHeight="1"/>
    <row r="706" customFormat="1" ht="15.75" customHeight="1"/>
    <row r="707" customFormat="1" ht="15.75" customHeight="1"/>
    <row r="708" customFormat="1" ht="15.75" customHeight="1"/>
    <row r="709" customFormat="1" ht="15.75" customHeight="1"/>
    <row r="710" customFormat="1" ht="15.75" customHeight="1"/>
    <row r="711" customFormat="1" ht="15.75" customHeight="1"/>
    <row r="712" customFormat="1" ht="15.75" customHeight="1"/>
    <row r="713" customFormat="1" ht="15.75" customHeight="1"/>
    <row r="714" customFormat="1" ht="15.75" customHeight="1"/>
    <row r="715" customFormat="1" ht="15.75" customHeight="1"/>
    <row r="716" customFormat="1" ht="15.75" customHeight="1"/>
    <row r="717" customFormat="1" ht="15.75" customHeight="1"/>
    <row r="718" customFormat="1" ht="15.75" customHeight="1"/>
    <row r="719" customFormat="1" ht="15.75" customHeight="1"/>
    <row r="720" customFormat="1" ht="15.75" customHeight="1"/>
    <row r="721" customFormat="1" ht="15.75" customHeight="1"/>
    <row r="722" customFormat="1" ht="15.75" customHeight="1"/>
    <row r="723" customFormat="1" ht="15.75" customHeight="1"/>
    <row r="724" customFormat="1" ht="15.75" customHeight="1"/>
    <row r="725" customFormat="1" ht="15.75" customHeight="1"/>
    <row r="726" customFormat="1" ht="15.75" customHeight="1"/>
    <row r="727" customFormat="1" ht="15.75" customHeight="1"/>
    <row r="728" customFormat="1" ht="15.75" customHeight="1"/>
    <row r="729" customFormat="1" ht="15.75" customHeight="1"/>
    <row r="730" customFormat="1" ht="15.75" customHeight="1"/>
    <row r="731" customFormat="1" ht="15.75" customHeight="1"/>
    <row r="732" customFormat="1" ht="15.75" customHeight="1"/>
    <row r="733" customFormat="1" ht="15.75" customHeight="1"/>
    <row r="734" customFormat="1" ht="15.75" customHeight="1"/>
    <row r="735" customFormat="1" ht="15.75" customHeight="1"/>
    <row r="736" customFormat="1" ht="15.75" customHeight="1"/>
    <row r="737" customFormat="1" ht="15.75" customHeight="1"/>
    <row r="738" customFormat="1" ht="15.75" customHeight="1"/>
    <row r="739" customFormat="1" ht="15.75" customHeight="1"/>
    <row r="740" customFormat="1" ht="15.75" customHeight="1"/>
    <row r="741" customFormat="1" ht="15.75" customHeight="1"/>
    <row r="742" customFormat="1" ht="15.75" customHeight="1"/>
    <row r="743" customFormat="1" ht="15.75" customHeight="1"/>
    <row r="744" customFormat="1" ht="15.75" customHeight="1"/>
    <row r="745" customFormat="1" ht="15.75" customHeight="1"/>
    <row r="746" customFormat="1" ht="15.75" customHeight="1"/>
    <row r="747" customFormat="1" ht="15.75" customHeight="1"/>
    <row r="748" customFormat="1" ht="15.75" customHeight="1"/>
    <row r="749" customFormat="1" ht="15.75" customHeight="1"/>
    <row r="750" customFormat="1" ht="15.75" customHeight="1"/>
    <row r="751" customFormat="1" ht="15.75" customHeight="1"/>
    <row r="752" customFormat="1" ht="15.75" customHeight="1"/>
    <row r="753" customFormat="1" ht="15.75" customHeight="1"/>
    <row r="754" customFormat="1" ht="15.75" customHeight="1"/>
    <row r="755" customFormat="1" ht="15.75" customHeight="1"/>
    <row r="756" customFormat="1" ht="15.75" customHeight="1"/>
    <row r="757" customFormat="1" ht="15.75" customHeight="1"/>
    <row r="758" customFormat="1" ht="15.75" customHeight="1"/>
    <row r="759" customFormat="1" ht="15.75" customHeight="1"/>
    <row r="760" customFormat="1" ht="15.75" customHeight="1"/>
    <row r="761" customFormat="1" ht="15.75" customHeight="1"/>
    <row r="762" customFormat="1" ht="15.75" customHeight="1"/>
    <row r="763" customFormat="1" ht="15.75" customHeight="1"/>
    <row r="764" customFormat="1" ht="15.75" customHeight="1"/>
    <row r="765" customFormat="1" ht="15.75" customHeight="1"/>
    <row r="766" customFormat="1" ht="15.75" customHeight="1"/>
    <row r="767" customFormat="1" ht="15.75" customHeight="1"/>
    <row r="768" customFormat="1" ht="15.75" customHeight="1"/>
    <row r="769" customFormat="1" ht="15.75" customHeight="1"/>
    <row r="770" customFormat="1" ht="15.75" customHeight="1"/>
    <row r="771" customFormat="1" ht="15.75" customHeight="1"/>
    <row r="772" customFormat="1" ht="15.75" customHeight="1"/>
    <row r="773" customFormat="1" ht="15.75" customHeight="1"/>
    <row r="774" customFormat="1" ht="15.75" customHeight="1"/>
    <row r="775" customFormat="1" ht="15.75" customHeight="1"/>
    <row r="776" customFormat="1" ht="15.75" customHeight="1"/>
    <row r="777" customFormat="1" ht="15.75" customHeight="1"/>
    <row r="778" customFormat="1" ht="15.75" customHeight="1"/>
    <row r="779" customFormat="1" ht="15.75" customHeight="1"/>
    <row r="780" customFormat="1" ht="15.75" customHeight="1"/>
    <row r="781" customFormat="1" ht="15.75" customHeight="1"/>
    <row r="782" customFormat="1" ht="15.75" customHeight="1"/>
    <row r="783" customFormat="1" ht="15.75" customHeight="1"/>
    <row r="784" customFormat="1" ht="15.75" customHeight="1"/>
    <row r="785" customFormat="1" ht="15.75" customHeight="1"/>
    <row r="786" customFormat="1" ht="15.75" customHeight="1"/>
    <row r="787" customFormat="1" ht="15.75" customHeight="1"/>
    <row r="788" customFormat="1" ht="15.75" customHeight="1"/>
    <row r="789" customFormat="1" ht="15.75" customHeight="1"/>
    <row r="790" customFormat="1" ht="15.75" customHeight="1"/>
    <row r="791" customFormat="1" ht="15.75" customHeight="1"/>
    <row r="792" customFormat="1" ht="15.75" customHeight="1"/>
    <row r="793" customFormat="1" ht="15.75" customHeight="1"/>
    <row r="794" customFormat="1" ht="15.75" customHeight="1"/>
    <row r="795" customFormat="1" ht="15.75" customHeight="1"/>
    <row r="796" customFormat="1" ht="15.75" customHeight="1"/>
    <row r="797" customFormat="1" ht="15.75" customHeight="1"/>
    <row r="798" customFormat="1" ht="15.75" customHeight="1"/>
    <row r="799" customFormat="1" ht="15.75" customHeight="1"/>
    <row r="800" customFormat="1" ht="15.75" customHeight="1"/>
    <row r="801" customFormat="1" ht="15.75" customHeight="1"/>
    <row r="802" customFormat="1" ht="15.75" customHeight="1"/>
    <row r="803" customFormat="1" ht="15.75" customHeight="1"/>
    <row r="804" customFormat="1" ht="15.75" customHeight="1"/>
    <row r="805" customFormat="1" ht="15.75" customHeight="1"/>
    <row r="806" customFormat="1" ht="15.75" customHeight="1"/>
    <row r="807" customFormat="1" ht="15.75" customHeight="1"/>
    <row r="808" customFormat="1" ht="15.75" customHeight="1"/>
    <row r="809" customFormat="1" ht="15.75" customHeight="1"/>
    <row r="810" customFormat="1" ht="15.75" customHeight="1"/>
    <row r="811" customFormat="1" ht="15.75" customHeight="1"/>
    <row r="812" customFormat="1" ht="15.75" customHeight="1"/>
    <row r="813" customFormat="1" ht="15.75" customHeight="1"/>
    <row r="814" customFormat="1" ht="15.75" customHeight="1"/>
    <row r="815" customFormat="1" ht="15.75" customHeight="1"/>
    <row r="816" customFormat="1" ht="15.75" customHeight="1"/>
    <row r="817" customFormat="1" ht="15.75" customHeight="1"/>
    <row r="818" customFormat="1" ht="15.75" customHeight="1"/>
    <row r="819" customFormat="1" ht="15.75" customHeight="1"/>
    <row r="820" customFormat="1" ht="15.75" customHeight="1"/>
    <row r="821" customFormat="1" ht="15.75" customHeight="1"/>
    <row r="822" customFormat="1" ht="15.75" customHeight="1"/>
    <row r="823" customFormat="1" ht="15.75" customHeight="1"/>
    <row r="824" customFormat="1" ht="15.75" customHeight="1"/>
    <row r="825" customFormat="1" ht="15.75" customHeight="1"/>
    <row r="826" customFormat="1" ht="15.75" customHeight="1"/>
    <row r="827" customFormat="1" ht="15.75" customHeight="1"/>
    <row r="828" customFormat="1" ht="15.75" customHeight="1"/>
    <row r="829" customFormat="1" ht="15.75" customHeight="1"/>
    <row r="830" customFormat="1" ht="15.75" customHeight="1"/>
    <row r="831" customFormat="1" ht="15.75" customHeight="1"/>
    <row r="832" customFormat="1" ht="15.75" customHeight="1"/>
    <row r="833" customFormat="1" ht="15.75" customHeight="1"/>
    <row r="834" customFormat="1" ht="15.75" customHeight="1"/>
    <row r="835" customFormat="1" ht="15.75" customHeight="1"/>
    <row r="836" customFormat="1" ht="15.75" customHeight="1"/>
    <row r="837" customFormat="1" ht="15.75" customHeight="1"/>
    <row r="838" customFormat="1" ht="15.75" customHeight="1"/>
    <row r="839" customFormat="1" ht="15.75" customHeight="1"/>
    <row r="840" customFormat="1" ht="15.75" customHeight="1"/>
    <row r="841" customFormat="1" ht="15.75" customHeight="1"/>
    <row r="842" customFormat="1" ht="15.75" customHeight="1"/>
    <row r="843" customFormat="1" ht="15.75" customHeight="1"/>
    <row r="844" customFormat="1" ht="15.75" customHeight="1"/>
    <row r="845" customFormat="1" ht="15.75" customHeight="1"/>
    <row r="846" customFormat="1" ht="15.75" customHeight="1"/>
    <row r="847" customFormat="1" ht="15.75" customHeight="1"/>
    <row r="848" customFormat="1" ht="15.75" customHeight="1"/>
    <row r="849" customFormat="1" ht="15.75" customHeight="1"/>
    <row r="850" customFormat="1" ht="15.75" customHeight="1"/>
    <row r="851" customFormat="1" ht="15.75" customHeight="1"/>
    <row r="852" customFormat="1" ht="15.75" customHeight="1"/>
    <row r="853" customFormat="1" ht="15.75" customHeight="1"/>
    <row r="854" customFormat="1" ht="15.75" customHeight="1"/>
    <row r="855" customFormat="1" ht="15.75" customHeight="1"/>
    <row r="856" customFormat="1" ht="15.75" customHeight="1"/>
    <row r="857" customFormat="1" ht="15.75" customHeight="1"/>
    <row r="858" customFormat="1" ht="15.75" customHeight="1"/>
    <row r="859" customFormat="1" ht="15.75" customHeight="1"/>
    <row r="860" customFormat="1" ht="15.75" customHeight="1"/>
    <row r="861" customFormat="1" ht="15.75" customHeight="1"/>
    <row r="862" customFormat="1" ht="15.75" customHeight="1"/>
    <row r="863" customFormat="1" ht="15.75" customHeight="1"/>
    <row r="864" customFormat="1" ht="15.75" customHeight="1"/>
    <row r="865" customFormat="1" ht="15.75" customHeight="1"/>
    <row r="866" customFormat="1" ht="15.75" customHeight="1"/>
    <row r="867" customFormat="1" ht="15.75" customHeight="1"/>
    <row r="868" customFormat="1" ht="15.75" customHeight="1"/>
    <row r="869" customFormat="1" ht="15.75" customHeight="1"/>
    <row r="870" customFormat="1" ht="15.75" customHeight="1"/>
    <row r="871" customFormat="1" ht="15.75" customHeight="1"/>
    <row r="872" customFormat="1" ht="15.75" customHeight="1"/>
    <row r="873" customFormat="1" ht="15.75" customHeight="1"/>
    <row r="874" customFormat="1" ht="15.75" customHeight="1"/>
    <row r="875" customFormat="1" ht="15.75" customHeight="1"/>
    <row r="876" customFormat="1" ht="15.75" customHeight="1"/>
    <row r="877" customFormat="1" ht="15.75" customHeight="1"/>
    <row r="878" customFormat="1" ht="15.75" customHeight="1"/>
    <row r="879" customFormat="1" ht="15.75" customHeight="1"/>
    <row r="880" customFormat="1" ht="15.75" customHeight="1"/>
    <row r="881" customFormat="1" ht="15.75" customHeight="1"/>
    <row r="882" customFormat="1" ht="15.75" customHeight="1"/>
    <row r="883" customFormat="1" ht="15.75" customHeight="1"/>
    <row r="884" customFormat="1" ht="15.75" customHeight="1"/>
    <row r="885" customFormat="1" ht="15.75" customHeight="1"/>
    <row r="886" customFormat="1" ht="15.75" customHeight="1"/>
    <row r="887" customFormat="1" ht="15.75" customHeight="1"/>
    <row r="888" customFormat="1" ht="15.75" customHeight="1"/>
    <row r="889" customFormat="1" ht="15.75" customHeight="1"/>
    <row r="890" customFormat="1" ht="15.75" customHeight="1"/>
    <row r="891" customFormat="1" ht="15.75" customHeight="1"/>
    <row r="892" customFormat="1" ht="15.75" customHeight="1"/>
    <row r="893" customFormat="1" ht="15.75" customHeight="1"/>
    <row r="894" customFormat="1" ht="15.75" customHeight="1"/>
    <row r="895" customFormat="1" ht="15.75" customHeight="1"/>
    <row r="896" customFormat="1" ht="15.75" customHeight="1"/>
    <row r="897" customFormat="1" ht="15.75" customHeight="1"/>
    <row r="898" customFormat="1" ht="15.75" customHeight="1"/>
    <row r="899" customFormat="1" ht="15.75" customHeight="1"/>
    <row r="900" customFormat="1" ht="15.75" customHeight="1"/>
    <row r="901" customFormat="1" ht="15.75" customHeight="1"/>
    <row r="902" customFormat="1" ht="15.75" customHeight="1"/>
    <row r="903" customFormat="1" ht="15.75" customHeight="1"/>
    <row r="904" customFormat="1" ht="15.75" customHeight="1"/>
    <row r="905" customFormat="1" ht="15.75" customHeight="1"/>
    <row r="906" customFormat="1" ht="15.75" customHeight="1"/>
    <row r="907" customFormat="1" ht="15.75" customHeight="1"/>
    <row r="908" customFormat="1" ht="15.75" customHeight="1"/>
    <row r="909" customFormat="1" ht="15.75" customHeight="1"/>
    <row r="910" customFormat="1" ht="15.75" customHeight="1"/>
    <row r="911" customFormat="1" ht="15.75" customHeight="1"/>
    <row r="912" customFormat="1" ht="15.75" customHeight="1"/>
    <row r="913" customFormat="1" ht="15.75" customHeight="1"/>
    <row r="914" customFormat="1" ht="15.75" customHeight="1"/>
    <row r="915" customFormat="1" ht="15.75" customHeight="1"/>
    <row r="916" customFormat="1" ht="15.75" customHeight="1"/>
    <row r="917" customFormat="1" ht="15.75" customHeight="1"/>
    <row r="918" customFormat="1" ht="15.75" customHeight="1"/>
    <row r="919" customFormat="1" ht="15.75" customHeight="1"/>
    <row r="920" customFormat="1" ht="15.75" customHeight="1"/>
    <row r="921" customFormat="1" ht="15.75" customHeight="1"/>
    <row r="922" customFormat="1" ht="15.75" customHeight="1"/>
    <row r="923" customFormat="1" ht="15.75" customHeight="1"/>
    <row r="924" customFormat="1" ht="15.75" customHeight="1"/>
    <row r="925" customFormat="1" ht="15.75" customHeight="1"/>
    <row r="926" customFormat="1" ht="15.75" customHeight="1"/>
    <row r="927" customFormat="1" ht="15.75" customHeight="1"/>
    <row r="928" customFormat="1" ht="15.75" customHeight="1"/>
    <row r="929" customFormat="1" ht="15.75" customHeight="1"/>
    <row r="930" customFormat="1" ht="15.75" customHeight="1"/>
    <row r="931" customFormat="1" ht="15.75" customHeight="1"/>
    <row r="932" customFormat="1" ht="15.75" customHeight="1"/>
    <row r="933" customFormat="1" ht="15.75" customHeight="1"/>
    <row r="934" customFormat="1" ht="15.75" customHeight="1"/>
    <row r="935" customFormat="1" ht="15.75" customHeight="1"/>
    <row r="936" customFormat="1" ht="15.75" customHeight="1"/>
    <row r="937" customFormat="1" ht="15.75" customHeight="1"/>
    <row r="938" customFormat="1" ht="15.75" customHeight="1"/>
    <row r="939" customFormat="1" ht="15.75" customHeight="1"/>
    <row r="940" customFormat="1" ht="15.75" customHeight="1"/>
    <row r="941" customFormat="1" ht="15.75" customHeight="1"/>
    <row r="942" customFormat="1" ht="15.75" customHeight="1"/>
    <row r="943" customFormat="1" ht="15.75" customHeight="1"/>
    <row r="944" customFormat="1" ht="15.75" customHeight="1"/>
    <row r="945" customFormat="1" ht="15.75" customHeight="1"/>
    <row r="946" customFormat="1" ht="15.75" customHeight="1"/>
    <row r="947" customFormat="1" ht="15.75" customHeight="1"/>
    <row r="948" customFormat="1" ht="15.75" customHeight="1"/>
    <row r="949" customFormat="1" ht="15.75" customHeight="1"/>
    <row r="950" customFormat="1" ht="15.75" customHeight="1"/>
    <row r="951" customFormat="1" ht="15.75" customHeight="1"/>
    <row r="952" customFormat="1" ht="15.75" customHeight="1"/>
    <row r="953" customFormat="1" ht="15.75" customHeight="1"/>
    <row r="954" customFormat="1" ht="15.75" customHeight="1"/>
    <row r="955" customFormat="1" ht="15.75" customHeight="1"/>
    <row r="956" customFormat="1" ht="15.75" customHeight="1"/>
    <row r="957" customFormat="1" ht="15.75" customHeight="1"/>
    <row r="958" customFormat="1" ht="15.75" customHeight="1"/>
    <row r="959" customFormat="1" ht="15.75" customHeight="1"/>
    <row r="960" customFormat="1" ht="15.75" customHeight="1"/>
    <row r="961" customFormat="1" ht="15.75" customHeight="1"/>
    <row r="962" customFormat="1" ht="15.75" customHeight="1"/>
    <row r="963" customFormat="1" ht="15.75" customHeight="1"/>
    <row r="964" customFormat="1" ht="15.75" customHeight="1"/>
    <row r="965" customFormat="1" ht="15.75" customHeight="1"/>
    <row r="966" customFormat="1" ht="15.75" customHeight="1"/>
    <row r="967" customFormat="1" ht="15.75" customHeight="1"/>
    <row r="968" customFormat="1" ht="15.75" customHeight="1"/>
    <row r="969" customFormat="1" ht="15.75" customHeight="1"/>
    <row r="970" customFormat="1" ht="15.75" customHeight="1"/>
    <row r="971" customFormat="1" ht="15.75" customHeight="1"/>
    <row r="972" customFormat="1" ht="15.75" customHeight="1"/>
    <row r="973" customFormat="1" ht="15.75" customHeight="1"/>
    <row r="974" customFormat="1" ht="15.75" customHeight="1"/>
    <row r="975" customFormat="1" ht="15.75" customHeight="1"/>
    <row r="976" customFormat="1" ht="15.75" customHeight="1"/>
    <row r="977" customFormat="1" ht="15.75" customHeight="1"/>
    <row r="978" customFormat="1" ht="15.75" customHeight="1"/>
    <row r="979" customFormat="1" ht="15.75" customHeight="1"/>
    <row r="980" customFormat="1" ht="15.75" customHeight="1"/>
    <row r="981" customFormat="1" ht="15.75" customHeight="1"/>
    <row r="982" customFormat="1" ht="15.75" customHeight="1"/>
    <row r="983" customFormat="1" ht="15.75" customHeight="1"/>
    <row r="984" customFormat="1" ht="15.75" customHeight="1"/>
    <row r="985" customFormat="1" ht="15.75" customHeight="1"/>
    <row r="986" customFormat="1" ht="15.75" customHeight="1"/>
    <row r="987" customFormat="1" ht="15.75" customHeight="1"/>
    <row r="988" customFormat="1" ht="15.75" customHeight="1"/>
    <row r="989" customFormat="1" ht="15.75" customHeight="1"/>
    <row r="990" customFormat="1" ht="15.75" customHeight="1"/>
    <row r="991" customFormat="1" ht="15.75" customHeight="1"/>
    <row r="992" customFormat="1" ht="15.75" customHeight="1"/>
    <row r="993" customFormat="1" ht="15.75" customHeight="1"/>
    <row r="994" customFormat="1" ht="15.75" customHeight="1"/>
    <row r="995" customFormat="1" ht="15.75" customHeight="1"/>
    <row r="996" customFormat="1" ht="15.75" customHeight="1"/>
    <row r="997" customFormat="1" ht="15.75" customHeight="1"/>
    <row r="998" customFormat="1" ht="15.75" customHeight="1"/>
    <row r="999" customFormat="1" ht="15.75" customHeight="1"/>
    <row r="1000" customFormat="1" ht="15.75" customHeight="1"/>
  </sheetData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Físicas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José Pedregal Tercero</dc:creator>
  <cp:lastModifiedBy>Diego José Pedregal Tercero</cp:lastModifiedBy>
  <dcterms:created xsi:type="dcterms:W3CDTF">2024-04-18T09:46:26Z</dcterms:created>
  <dcterms:modified xsi:type="dcterms:W3CDTF">2024-04-18T10:18:01Z</dcterms:modified>
</cp:coreProperties>
</file>